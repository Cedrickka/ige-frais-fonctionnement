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’emploi" sheetId="1" state="visible" r:id="rId3"/>
    <sheet name="Tableau de bord" sheetId="2" state="visible" r:id="rId4"/>
    <sheet name="Testeurs" sheetId="3" state="visible" r:id="rId5"/>
    <sheet name="Exécution" sheetId="4" state="visible" r:id="rId6"/>
    <sheet name="Anomalies" sheetId="5" state="visible" r:id="rId7"/>
    <sheet name="Synthèse scénarios" sheetId="6" state="visible" r:id="rId8"/>
  </sheets>
  <definedNames>
    <definedName function="false" hidden="true" localSheetId="4" name="_xlnm._FilterDatabase" vbProcedure="false">Anomalies!$A$4:$N$204</definedName>
    <definedName function="false" hidden="false" localSheetId="3" name="_xlnm.Print_Titles" vbProcedure="false">Exécution!$4:$4</definedName>
    <definedName function="false" hidden="true" localSheetId="3" name="_xlnm._FilterDatabase" vbProcedure="false">Exécution!$A$4:$M$239</definedName>
    <definedName function="false" hidden="true" localSheetId="5" name="_xlnm._FilterDatabase" vbProcedure="false">'Synthèse scénarios'!$A$4:$K$55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<sst xmlns="http://schemas.openxmlformats.org/spreadsheetml/2006/main" count="2265" uniqueCount="720">
  <si>
    <t xml:space="preserve">Suivi de la recette (UAT) — Gestion des frais de fonctionnement</t>
  </si>
  <si>
    <t xml:space="preserve">Cahier de recette IGE-AF-REC-001 v1.0 · application 2.2.1 · 51 scénarios, 235 étapes</t>
  </si>
  <si>
    <t xml:space="preserve">Onglets</t>
  </si>
  <si>
    <t xml:space="preserve">Testeurs</t>
  </si>
  <si>
    <t xml:space="preserve">Nom et e-mail de la personne qui joue chaque profil de test.</t>
  </si>
  <si>
    <t xml:space="preserve">Exécution</t>
  </si>
  <si>
    <t xml:space="preserve">Une ligne par étape. Le testeur renseigne les colonnes jaunes : Statut, Résultat obtenu / commentaire, Réf. anomalie, Testeur, Date.</t>
  </si>
  <si>
    <t xml:space="preserve">Anomalies</t>
  </si>
  <si>
    <t xml:space="preserve">Registre des anomalies : une ligne par anomalie ouverte (voir l’exemple ci-dessous).</t>
  </si>
  <si>
    <t xml:space="preserve">Synthèse scénarios</t>
  </si>
  <si>
    <t xml:space="preserve">Calculée automatiquement : nombre d’étapes OK, KO, bloquées, non testées et statut de chaque scénario.</t>
  </si>
  <si>
    <t xml:space="preserve">Tableau de bord</t>
  </si>
  <si>
    <t xml:space="preserve">Calculé automatiquement : avancement global, par phase, anomalies et critères de sortie de la recette.</t>
  </si>
  <si>
    <t xml:space="preserve">Valeurs du statut d’une étape</t>
  </si>
  <si>
    <t xml:space="preserve">Non testé</t>
  </si>
  <si>
    <t xml:space="preserve">Étape pas encore exécutée (valeur de départ).</t>
  </si>
  <si>
    <t xml:space="preserve">OK</t>
  </si>
  <si>
    <t xml:space="preserve">Résultat obtenu conforme au résultat attendu.</t>
  </si>
  <si>
    <t xml:space="preserve">KO</t>
  </si>
  <si>
    <t xml:space="preserve">Résultat différent : décrire l’écart dans « Résultat obtenu » et ouvrir une anomalie.</t>
  </si>
  <si>
    <t xml:space="preserve">Bloqué</t>
  </si>
  <si>
    <t xml:space="preserve">Étape impossible à exécuter (anomalie précédente, prérequis manquant).</t>
  </si>
  <si>
    <t xml:space="preserve">Gravité des anomalies</t>
  </si>
  <si>
    <t xml:space="preserve">Bloquante</t>
  </si>
  <si>
    <t xml:space="preserve">Empêche une fonction essentielle ou fausse les comptes, sans contournement.</t>
  </si>
  <si>
    <t xml:space="preserve">Majeure</t>
  </si>
  <si>
    <t xml:space="preserve">Fonction importante incorrecte, contournement pénible ou risqué.</t>
  </si>
  <si>
    <t xml:space="preserve">Mineure</t>
  </si>
  <si>
    <t xml:space="preserve">Défaut sans impact sur les comptes ni sur la sécurité.</t>
  </si>
  <si>
    <t xml:space="preserve">Évolution</t>
  </si>
  <si>
    <t xml:space="preserve">Besoin nouveau, non prévu dans l’expression des besoins.</t>
  </si>
  <si>
    <t xml:space="preserve">Exemple de ligne d’anomalie</t>
  </si>
  <si>
    <t xml:space="preserve">Réf. / scénario / étape</t>
  </si>
  <si>
    <t xml:space="preserve">ANO-001 · UAT-17 · étape 3</t>
  </si>
  <si>
    <t xml:space="preserve">Description</t>
  </si>
  <si>
    <t xml:space="preserve">Paiement en espèces de 2 100 000 accepté sans message.</t>
  </si>
  <si>
    <t xml:space="preserve">Attendu / obtenu</t>
  </si>
  <si>
    <t xml:space="preserve">Attendu : refus « Paiement en espèces limité à 2 000 000 CDF ». Obtenu : écriture enregistrée.</t>
  </si>
  <si>
    <t xml:space="preserve">Gravité / statut</t>
  </si>
  <si>
    <t xml:space="preserve">Majeure · Ouverte</t>
  </si>
  <si>
    <t xml:space="preserve">Règles</t>
  </si>
  <si>
    <t xml:space="preserve">Cellules jaunes</t>
  </si>
  <si>
    <t xml:space="preserve">Seules cellules à remplir. Les autres colonnes et onglets calculés ne se modifient pas.</t>
  </si>
  <si>
    <t xml:space="preserve">Critères de sortie</t>
  </si>
  <si>
    <t xml:space="preserve">100 % des scénarios critiques OK ; aucune anomalie bloquante ou majeure ouverte ; au moins 95 % des étapes OK.</t>
  </si>
  <si>
    <t xml:space="preserve">Exemple de cellule à remplir</t>
  </si>
  <si>
    <t xml:space="preserve">Tableau de bord de la recette</t>
  </si>
  <si>
    <t xml:space="preserve">Calculé automatiquement · ne rien saisir dans cet onglet</t>
  </si>
  <si>
    <t xml:space="preserve">Avancement global</t>
  </si>
  <si>
    <t xml:space="preserve">Étapes prévues</t>
  </si>
  <si>
    <t xml:space="preserve">Étapes exécutées</t>
  </si>
  <si>
    <t xml:space="preserve">Étapes OK</t>
  </si>
  <si>
    <t xml:space="preserve">Étapes KO</t>
  </si>
  <si>
    <t xml:space="preserve">Étapes bloquées</t>
  </si>
  <si>
    <t xml:space="preserve">Taux d’exécution</t>
  </si>
  <si>
    <t xml:space="preserve">Taux d’étapes OK (sur les prévues)</t>
  </si>
  <si>
    <t xml:space="preserve">Scénarios OK / prévus</t>
  </si>
  <si>
    <t xml:space="preserve">scénarios</t>
  </si>
  <si>
    <t xml:space="preserve">Scénarios critiques OK</t>
  </si>
  <si>
    <t xml:space="preserve">Scénarios critiques prévus</t>
  </si>
  <si>
    <t xml:space="preserve">Avancement par phase</t>
  </si>
  <si>
    <t xml:space="preserve">Phase</t>
  </si>
  <si>
    <t xml:space="preserve">Étapes</t>
  </si>
  <si>
    <t xml:space="preserve">% OK</t>
  </si>
  <si>
    <t xml:space="preserve">Préparation de l’environnement</t>
  </si>
  <si>
    <t xml:space="preserve">Accès et sécurité</t>
  </si>
  <si>
    <t xml:space="preserve">Budget et fonds</t>
  </si>
  <si>
    <t xml:space="preserve">Saisie et contrôles</t>
  </si>
  <si>
    <t xml:space="preserve">Transmission et vérification</t>
  </si>
  <si>
    <t xml:space="preserve">Missions d’inspection</t>
  </si>
  <si>
    <t xml:space="preserve">Caisse et arrêtés</t>
  </si>
  <si>
    <t xml:space="preserve">Trésorerie et banque</t>
  </si>
  <si>
    <t xml:space="preserve">Parc automobile</t>
  </si>
  <si>
    <t xml:space="preserve">Stocks de fournitures</t>
  </si>
  <si>
    <t xml:space="preserve">Pilotage et rapports</t>
  </si>
  <si>
    <t xml:space="preserve">Direction</t>
  </si>
  <si>
    <t xml:space="preserve">Administration et traçabilité</t>
  </si>
  <si>
    <t xml:space="preserve">Transverse et clôture</t>
  </si>
  <si>
    <t xml:space="preserve">Total</t>
  </si>
  <si>
    <t xml:space="preserve">Gravité</t>
  </si>
  <si>
    <t xml:space="preserve">Ouvertes</t>
  </si>
  <si>
    <t xml:space="preserve">Fermées</t>
  </si>
  <si>
    <t xml:space="preserve">Rejetées</t>
  </si>
  <si>
    <t xml:space="preserve">Critères de sortie de la recette</t>
  </si>
  <si>
    <t xml:space="preserve">Tous les scénarios exécutés</t>
  </si>
  <si>
    <t xml:space="preserve">100 % des scénarios critiques OK</t>
  </si>
  <si>
    <t xml:space="preserve">Aucune anomalie bloquante ouverte</t>
  </si>
  <si>
    <t xml:space="preserve">Aucune anomalie majeure ouverte</t>
  </si>
  <si>
    <t xml:space="preserve">Au moins 95 % des étapes OK</t>
  </si>
  <si>
    <t xml:space="preserve">Décision possible</t>
  </si>
  <si>
    <t xml:space="preserve">Attribuer chaque profil de test à une personne avant la campagne</t>
  </si>
  <si>
    <t xml:space="preserve">Code</t>
  </si>
  <si>
    <t xml:space="preserve">Profil de test</t>
  </si>
  <si>
    <t xml:space="preserve">Rôle</t>
  </si>
  <si>
    <t xml:space="preserve">Profil dans l’application</t>
  </si>
  <si>
    <t xml:space="preserve">Nom du testeur</t>
  </si>
  <si>
    <t xml:space="preserve">E-mail</t>
  </si>
  <si>
    <t xml:space="preserve">Identifiant du compte</t>
  </si>
  <si>
    <t xml:space="preserve">AF</t>
  </si>
  <si>
    <t xml:space="preserve">Administration et Finance</t>
  </si>
  <si>
    <t xml:space="preserve">Comptable ou vérificateur du service central</t>
  </si>
  <si>
    <t xml:space="preserve">AGA</t>
  </si>
  <si>
    <t xml:space="preserve">Agent du service A</t>
  </si>
  <si>
    <t xml:space="preserve">Agent qui tient la caisse du service A (par exemple 8001)</t>
  </si>
  <si>
    <t xml:space="preserve">Agent (service)</t>
  </si>
  <si>
    <t xml:space="preserve">RSA</t>
  </si>
  <si>
    <t xml:space="preserve">Responsable du service A</t>
  </si>
  <si>
    <t xml:space="preserve">Chef du service A</t>
  </si>
  <si>
    <t xml:space="preserve">Responsable (service)</t>
  </si>
  <si>
    <t xml:space="preserve">AGB</t>
  </si>
  <si>
    <t xml:space="preserve">Agent du service B</t>
  </si>
  <si>
    <t xml:space="preserve">Agent qui tient la caisse du service B (par exemple 8002)</t>
  </si>
  <si>
    <t xml:space="preserve">RSB</t>
  </si>
  <si>
    <t xml:space="preserve">Responsable du service B</t>
  </si>
  <si>
    <t xml:space="preserve">Chef du service B</t>
  </si>
  <si>
    <t xml:space="preserve">DIR</t>
  </si>
  <si>
    <t xml:space="preserve">Inspecteur Général ou membre de son cabinet</t>
  </si>
  <si>
    <t xml:space="preserve">Lecteur (Direction)</t>
  </si>
  <si>
    <t xml:space="preserve">PUB</t>
  </si>
  <si>
    <t xml:space="preserve">Personne sans compte</t>
  </si>
  <si>
    <t xml:space="preserve">Tiers qui reçoit un document officiel</t>
  </si>
  <si>
    <t xml:space="preserve">—</t>
  </si>
  <si>
    <t xml:space="preserve">Exécution des scénarios</t>
  </si>
  <si>
    <t xml:space="preserve">Une ligne par étape · renseigner les colonnes jaunes</t>
  </si>
  <si>
    <t xml:space="preserve">ID</t>
  </si>
  <si>
    <t xml:space="preserve">Scénario</t>
  </si>
  <si>
    <t xml:space="preserve">Priorité</t>
  </si>
  <si>
    <t xml:space="preserve">Étape</t>
  </si>
  <si>
    <t xml:space="preserve">Profil</t>
  </si>
  <si>
    <t xml:space="preserve">Action</t>
  </si>
  <si>
    <t xml:space="preserve">Résultat attendu</t>
  </si>
  <si>
    <t xml:space="preserve">Statut</t>
  </si>
  <si>
    <t xml:space="preserve">Résultat obtenu / commentaire</t>
  </si>
  <si>
    <t xml:space="preserve">Réf. anomalie</t>
  </si>
  <si>
    <t xml:space="preserve">Testeur</t>
  </si>
  <si>
    <t xml:space="preserve">Date</t>
  </si>
  <si>
    <t xml:space="preserve">UAT-01</t>
  </si>
  <si>
    <t xml:space="preserve">Connexion d’Administration et Finance et double authentification</t>
  </si>
  <si>
    <t xml:space="preserve">Critique</t>
  </si>
  <si>
    <t xml:space="preserve">Ouvrir l’adresse du site de recette, saisir l’identifiant et le mot de passe, cliquer sur « Se connecter ».</t>
  </si>
  <si>
    <t xml:space="preserve">L’application demande d’activer la double authentification (obligatoire pour A&amp;F).</t>
  </si>
  <si>
    <t xml:space="preserve">Choisir « Utiliser plutôt une application d’authentification », scanner le code QR, saisir le code affiché, cliquer sur « Activer ».</t>
  </si>
  <si>
    <t xml:space="preserve">Message « Double authentification activée » ; dix codes de secours affichés.</t>
  </si>
  <si>
    <t xml:space="preserve">Imprimer ou noter les codes de secours, se déconnecter puis se reconnecter.</t>
  </si>
  <si>
    <t xml:space="preserve">Après le mot de passe, l’écran du code s’affiche ; le code de l’application ouvre le tableau de bord.</t>
  </si>
  <si>
    <t xml:space="preserve">Se reconnecter en utilisant un code de secours à la place du code de l’application.</t>
  </si>
  <si>
    <t xml:space="preserve">Connexion acceptée ; le même code de secours est refusé à la connexion suivante.</t>
  </si>
  <si>
    <t xml:space="preserve">UAT-02</t>
  </si>
  <si>
    <t xml:space="preserve">Messagerie de la plateforme</t>
  </si>
  <si>
    <t xml:space="preserve">Ouvrir Administration › Exercice et règles de contrôle › Messagerie de la plateforme ; saisir l’adresse de la boîte, son mot de passe, le serveur et le port ; cliquer sur « Enregistrer la messagerie ».</t>
  </si>
  <si>
    <t xml:space="preserve">Message de confirmation ; le bandeau « Messagerie non configurée » disparaît.</t>
  </si>
  <si>
    <t xml:space="preserve">Cliquer sur « Envoyer un e-mail de test ».</t>
  </si>
  <si>
    <t xml:space="preserve">L’e-mail de test arrive dans la boîte de AF (vérifier aussi les indésirables) avec le nom d’expéditeur paramétré.</t>
  </si>
  <si>
    <t xml:space="preserve">Ouvrir le Journal d’audit.</t>
  </si>
  <si>
    <t xml:space="preserve">La modification de la messagerie est tracée ; le mot de passe n’y apparaît pas en clair.</t>
  </si>
  <si>
    <t xml:space="preserve">UAT-03</t>
  </si>
  <si>
    <t xml:space="preserve">Référentiels : services, rubriques, nomenclature, fournisseurs</t>
  </si>
  <si>
    <t xml:space="preserve">Haute</t>
  </si>
  <si>
    <t xml:space="preserve">Dans Référentiels › Services, renseigner le libellé et l’effectif des services A et B, puis enregistrer.</t>
  </si>
  <si>
    <t xml:space="preserve">Les modifications apparaissent dans la liste ; « Modification enregistrée ».</t>
  </si>
  <si>
    <t xml:space="preserve">Dans l’onglet Nomenclature de l’État, ajouter la ligne 6.1.1 « Fournitures et petits matériels de bureau ».</t>
  </si>
  <si>
    <t xml:space="preserve">La ligne apparaît avec 0 rubrique rattachée.</t>
  </si>
  <si>
    <t xml:space="preserve">Dans l’onglet Rubriques, modifier R01 : rattacher la ligne 6.1.1 et cocher les pièces exigées « Facture » et « Bon de réception ».</t>
  </si>
  <si>
    <t xml:space="preserve">R01 affiche la ligne de nomenclature et les pièces exigées.</t>
  </si>
  <si>
    <t xml:space="preserve">Tenter de rattacher R02 à une ligne de nomenclature inexistante.</t>
  </si>
  <si>
    <t xml:space="preserve">Enregistrement refusé avec un message explicite.</t>
  </si>
  <si>
    <t xml:space="preserve">Ajouter une rubrique de test R99, puis la désactiver.</t>
  </si>
  <si>
    <t xml:space="preserve">Aucun bouton de suppression ; R99 désactivée n’est plus proposée à la saisie (à vérifier en UAT-15).</t>
  </si>
  <si>
    <t xml:space="preserve">Dans Fournisseurs, créer « Papeterie Recette SARL » (NIF, RCCM, téléphone), puis tenter de le recréer avec le même NIF.</t>
  </si>
  <si>
    <t xml:space="preserve">Le doublon est signalé.</t>
  </si>
  <si>
    <t xml:space="preserve">UAT-04</t>
  </si>
  <si>
    <t xml:space="preserve">Création des comptes des testeurs</t>
  </si>
  <si>
    <t xml:space="preserve">Comptes utilisateurs › « + Nouveau compte » : créer AGA (Agent, service A) sans cocher l’invitation ; cliquer sur « Créer le compte ».</t>
  </si>
  <si>
    <t xml:space="preserve">Un mot de passe provisoire s’affiche une seule fois ; le compte apparaît « Actif », dernière connexion « Jamais ».</t>
  </si>
  <si>
    <t xml:space="preserve">Créer RSA (Responsable, service A), AGB (Agent, service B), RSB (Responsable, service B) avec « Inviter par e-mail ».</t>
  </si>
  <si>
    <t xml:space="preserve">Message « Invitation envoyée » ; chaque testeur reçoit un e-mail avec un lien personnel.</t>
  </si>
  <si>
    <t xml:space="preserve">Créer DIR (Lecteur (Direction)) sans service.</t>
  </si>
  <si>
    <t xml:space="preserve">Compte créé ; le champ Service est ignoré pour ce profil.</t>
  </si>
  <si>
    <t xml:space="preserve">Tenter de créer un Agent sans service, puis un compte avec un identifiant déjà utilisé.</t>
  </si>
  <si>
    <t xml:space="preserve">Les deux créations sont refusées avec un message clair.</t>
  </si>
  <si>
    <t xml:space="preserve">Rafraîchir la page.</t>
  </si>
  <si>
    <t xml:space="preserve">Le mot de passe provisoire n’est plus visible nulle part.</t>
  </si>
  <si>
    <t xml:space="preserve">UAT-05</t>
  </si>
  <si>
    <t xml:space="preserve">Règles de contrôle et barème des missions</t>
  </si>
  <si>
    <t xml:space="preserve">Ouvrir Exercice et règles de contrôle ; comparer les valeurs affichées à l’annexe B du guide.</t>
  </si>
  <si>
    <t xml:space="preserve">Valeurs conformes (plafond espèces 2 000 000, seuil de justification 80 %, chaîne 1 000 000, visa IG 5 000 000…).</t>
  </si>
  <si>
    <t xml:space="preserve">Décocher « Les services saisissent eux-mêmes leurs approvisionnements » et cliquer sur « Enregistrer les règles ».</t>
  </si>
  <si>
    <t xml:space="preserve">Règles enregistrées ; le changement figure au journal d’audit (avant/après).</t>
  </si>
  <si>
    <t xml:space="preserve">Dans « Barème des frais de mission », saisir le barème officiel et cliquer sur « Enregistrer le barème officiel ».</t>
  </si>
  <si>
    <t xml:space="preserve">Le bandeau « Barème d’exemple » disparaît de l’écran Missions.</t>
  </si>
  <si>
    <t xml:space="preserve">Dans « Jours fériés », vérifier la liste et ajouter un jour exceptionnel de test.</t>
  </si>
  <si>
    <t xml:space="preserve">Le jour est enregistré ; le prochain jour férié s’affiche.</t>
  </si>
  <si>
    <t xml:space="preserve">UAT-06</t>
  </si>
  <si>
    <t xml:space="preserve">Première connexion et choix du mot de passe</t>
  </si>
  <si>
    <t xml:space="preserve">Se connecter avec l’identifiant et le mot de passe provisoire.</t>
  </si>
  <si>
    <t xml:space="preserve">L’écran « Choisissez votre mot de passe » s’affiche ; aucun autre écran n’est accessible.</t>
  </si>
  <si>
    <t xml:space="preserve">Saisir un mot de passe de 8 caractères, puis un mot de passe sans chiffre, puis le mot de passe provisoire.</t>
  </si>
  <si>
    <t xml:space="preserve">Chaque proposition est refusée avec la règle non respectée.</t>
  </si>
  <si>
    <t xml:space="preserve">Saisir un mot de passe conforme (10 caractères, majuscule, minuscule, chiffre), le confirmer, cliquer sur « Enregistrer et continuer ».</t>
  </si>
  <si>
    <t xml:space="preserve">L’accueil du service A s’ouvre.</t>
  </si>
  <si>
    <t xml:space="preserve">Se déconnecter puis tenter de se connecter avec l’ancien mot de passe provisoire.</t>
  </si>
  <si>
    <t xml:space="preserve">Connexion refusée.</t>
  </si>
  <si>
    <t xml:space="preserve">UAT-07</t>
  </si>
  <si>
    <t xml:space="preserve">Activation par invitation e-mail</t>
  </si>
  <si>
    <t xml:space="preserve">Ouvrir le lien de l’e-mail d’invitation, choisir un mot de passe conforme.</t>
  </si>
  <si>
    <t xml:space="preserve">Le compte est activé ; l’accueil du service A s’ouvre.</t>
  </si>
  <si>
    <t xml:space="preserve">Réutiliser le même lien.</t>
  </si>
  <si>
    <t xml:space="preserve">Le lien est refusé (déjà utilisé).</t>
  </si>
  <si>
    <t xml:space="preserve">Pour AGB, cliquer sur « Renvoyer l’invitation ».</t>
  </si>
  <si>
    <t xml:space="preserve">Un nouvel e-mail est envoyé à AGB.</t>
  </si>
  <si>
    <t xml:space="preserve">AGB, RSB</t>
  </si>
  <si>
    <t xml:space="preserve">Activer leur compte par le lien reçu.</t>
  </si>
  <si>
    <t xml:space="preserve">Comptes activés ; la colonne « Dernière connexion » se met à jour chez AF.</t>
  </si>
  <si>
    <t xml:space="preserve">UAT-08</t>
  </si>
  <si>
    <t xml:space="preserve">Verrouillage, inactivité et mot de passe oublié</t>
  </si>
  <si>
    <t xml:space="preserve">Saisir 5 fois un mauvais mot de passe.</t>
  </si>
  <si>
    <t xml:space="preserve">Message « Compte verrouillé après plusieurs essais. Réessayez dans 15 minutes » ; même le bon mot de passe est refusé pendant ce délai.</t>
  </si>
  <si>
    <t xml:space="preserve">Après 15 minutes, se connecter avec le bon mot de passe.</t>
  </si>
  <si>
    <t xml:space="preserve">Connexion acceptée.</t>
  </si>
  <si>
    <t xml:space="preserve">Rester connecté sans activité au-delà du délai d’inactivité (30 minutes par défaut ; A&amp;F peut le réduire temporairement pour le test).</t>
  </si>
  <si>
    <t xml:space="preserve">À la reprise, la session est fermée et la page de connexion s’affiche.</t>
  </si>
  <si>
    <t xml:space="preserve">Cliquer sur « Mot de passe oublié ? », saisir son identifiant ou son e-mail.</t>
  </si>
  <si>
    <t xml:space="preserve">Un e-mail de réinitialisation arrive ; le nouveau mot de passe doit respecter les règles.</t>
  </si>
  <si>
    <t xml:space="preserve">Consulter le Journal d’audit, filtrer sur les actions de connexion.</t>
  </si>
  <si>
    <t xml:space="preserve">Verrouillage, déconnexion pour inactivité et changement de mot de passe sont tracés.</t>
  </si>
  <si>
    <t xml:space="preserve">UAT-09</t>
  </si>
  <si>
    <t xml:space="preserve">Double authentification par e-mail pour un compte de service</t>
  </si>
  <si>
    <t xml:space="preserve">Moyenne</t>
  </si>
  <si>
    <t xml:space="preserve">Cliquer sur « Sécurité », puis « Recevoir le code d’activation » ; saisir le code reçu ; cliquer sur « Activer ».</t>
  </si>
  <si>
    <t xml:space="preserve">Double authentification activée ; codes de secours affichés.</t>
  </si>
  <si>
    <t xml:space="preserve">Se reconnecter.</t>
  </si>
  <si>
    <t xml:space="preserve">Un code à 6 chiffres est envoyé par e-mail ; il est valable 10 minutes.</t>
  </si>
  <si>
    <t xml:space="preserve">Saisir un code expiré (attendre plus de 10 minutes) ou erroné.</t>
  </si>
  <si>
    <t xml:space="preserve">Code refusé.</t>
  </si>
  <si>
    <t xml:space="preserve">Dans Comptes utilisateurs, cliquer sur « Réinit. double auth. » pour RSA.</t>
  </si>
  <si>
    <t xml:space="preserve">À sa prochaine connexion, RSA doit réactiver la double authentification.</t>
  </si>
  <si>
    <t xml:space="preserve">UAT-10</t>
  </si>
  <si>
    <t xml:space="preserve">Cloisonnement des données entre services et profils</t>
  </si>
  <si>
    <t xml:space="preserve">Noter l’adresse (URL) d’une écriture du service A ouverte depuis le livre de caisse.</t>
  </si>
  <si>
    <t xml:space="preserve">Coller cette adresse dans le navigateur.</t>
  </si>
  <si>
    <t xml:space="preserve">L’écriture du service A n’est pas affichée (message d’accès refusé ou introuvable).</t>
  </si>
  <si>
    <t xml:space="preserve">Saisir directement l’adresse des écrans Vérification, Avances, Comptes utilisateurs et Paramètres.</t>
  </si>
  <si>
    <t xml:space="preserve">Accès refusé pour chacun.</t>
  </si>
  <si>
    <t xml:space="preserve">Parcourir les menus de la Direction ; tenter d’ouvrir Nouvelle écriture.</t>
  </si>
  <si>
    <t xml:space="preserve">Consultation possible ; aucune saisie ni validation n’est proposée.</t>
  </si>
  <si>
    <t xml:space="preserve">Vérifier les menus affichés.</t>
  </si>
  <si>
    <t xml:space="preserve">Accueil, Nouvelle écriture, Livre de caisse, Budget, Demandes de fonds, Missions, Arrêté de caisse, Véhicules, Transmission.</t>
  </si>
  <si>
    <t xml:space="preserve">UAT-11</t>
  </si>
  <si>
    <t xml:space="preserve">Budget et solde initial du service</t>
  </si>
  <si>
    <t xml:space="preserve">Ouvrir Budget.</t>
  </si>
  <si>
    <t xml:space="preserve">Le budget est consultable mais l’agent ne peut pas le saisir.</t>
  </si>
  <si>
    <t xml:space="preserve">Budget › « Saisir le budget » : R01 = 2 000 000 ; R03 = 3 000 000 ; R06 = 500 000 ; R07 = 4 000 000 ; solde initial = 1 000 000 ; enregistrer.</t>
  </si>
  <si>
    <t xml:space="preserve">Budget annuel 9 500 000 ; disponible égal au budget ; solde de caisse 1 000 000 sur l’accueil.</t>
  </si>
  <si>
    <t xml:space="preserve">Après la première écriture de UAT-15, revenir sur le budget et tenter de modifier le solde initial.</t>
  </si>
  <si>
    <t xml:space="preserve">Solde initial « Verrouillé (écritures saisies) ».</t>
  </si>
  <si>
    <t xml:space="preserve">« Réviser le budget » : R06 passe à 300 000 sans motif, puis avec le motif « Ajustement de recette ».</t>
  </si>
  <si>
    <t xml:space="preserve">Refus sans motif ; avec motif, la révision apparaît dans « Solde initial et révisions » (auteur, date, motif).</t>
  </si>
  <si>
    <t xml:space="preserve">Saisir le budget du service B (R01 = 1 500 000 ; R03 = 2 000 000 ; R07 = 3 000 000) et un solde initial de 500 000.</t>
  </si>
  <si>
    <t xml:space="preserve">Budget du service B enregistré.</t>
  </si>
  <si>
    <t xml:space="preserve">UAT-12</t>
  </si>
  <si>
    <t xml:space="preserve">Remise d’une avance de fonds</t>
  </si>
  <si>
    <t xml:space="preserve">Fonds › Avances › Nouvelle avance : service A, 3 000 000 CDF, date du jour, mode Chèque, objet « Fonctionnement du mois » ; cliquer sur « Enregistrer l’avance ».</t>
  </si>
  <si>
    <t xml:space="preserve">Avance numérotée AV-…; elle apparaît dans la liste du service A (remis 3 000 000).</t>
  </si>
  <si>
    <t xml:space="preserve">Ouvrir l’accueil et le livre de caisse.</t>
  </si>
  <si>
    <t xml:space="preserve">Une entrée « Avance de fonds AV-… » déjà validée est inscrite ; le solde de caisse passe à 4 000 000 ; un e-mail d’avis est reçu.</t>
  </si>
  <si>
    <t xml:space="preserve">Tenter d’enregistrer soi-même une entrée de caisse.</t>
  </si>
  <si>
    <t xml:space="preserve">L’option « Entrée » n’est pas proposée (approvisionnements réservés à A&amp;F).</t>
  </si>
  <si>
    <t xml:space="preserve">Tenter une deuxième avance au service A le même jour.</t>
  </si>
  <si>
    <t xml:space="preserve">Refus : la dernière avance n’est justifiée qu’à 0 % ; un motif de dérogation est demandé.</t>
  </si>
  <si>
    <t xml:space="preserve">Remettre une avance de 2 000 000 au service B.</t>
  </si>
  <si>
    <t xml:space="preserve">Avance enregistrée ; caisse du service B à 2 500 000.</t>
  </si>
  <si>
    <t xml:space="preserve">UAT-13</t>
  </si>
  <si>
    <t xml:space="preserve">Demande de fonds sous le seuil de la Direction</t>
  </si>
  <si>
    <t xml:space="preserve">Demandes de fonds › Nouvelle demande : objet « Fonctionnement du mois prochain », rubriques R01 et R03, 1 800 000, date de besoin dans 10 jours, justification ; cliquer sur « Soumettre au chef de service ».</t>
  </si>
  <si>
    <t xml:space="preserve">Demande DF-… « Visas en cours » ; RSB reçoit un e-mail.</t>
  </si>
  <si>
    <t xml:space="preserve">Ouvrir Demandes de fonds.</t>
  </si>
  <si>
    <t xml:space="preserve">La demande est dans « Chez le chef de service » ; A&amp;F ne peut pas encore l’accorder.</t>
  </si>
  <si>
    <t xml:space="preserve">Visas › Examiner › « Viser ».</t>
  </si>
  <si>
    <t xml:space="preserve">La demande passe « À mon visa » chez A&amp;F.</t>
  </si>
  <si>
    <t xml:space="preserve">Saisir un montant accordé de 1 500 000 sans avis.</t>
  </si>
  <si>
    <t xml:space="preserve">Refus : un avis est obligatoire pour réduire le montant.</t>
  </si>
  <si>
    <t xml:space="preserve">Saisir 1 500 000 avec l’avis « Carburant ramené à la dotation » et accorder.</t>
  </si>
  <si>
    <t xml:space="preserve">La demande passe « À décaisser » (montant inférieur à 5 000 000, pas de visa IG).</t>
  </si>
  <si>
    <t xml:space="preserve">Décaisser : date du jour, mode Chèque (ajouter un motif de dérogation si demandé).</t>
  </si>
  <si>
    <t xml:space="preserve">Une avance AV-… de 1 500 000 est créée dans la caisse du service B ; la demande passe « Décaissées ».</t>
  </si>
  <si>
    <t xml:space="preserve">Ouvrir Demandes de fonds et le livre de caisse.</t>
  </si>
  <si>
    <t xml:space="preserve">Montant accordé, avis et avance visibles ; l’entrée figure au livre.</t>
  </si>
  <si>
    <t xml:space="preserve">UAT-14</t>
  </si>
  <si>
    <t xml:space="preserve">Demande de fonds au-delà du seuil : visa et refus de l’Inspecteur Général</t>
  </si>
  <si>
    <t xml:space="preserve">Créer une demande de 6 000 000 (R03, R07) « Campagne d’inspection ».</t>
  </si>
  <si>
    <t xml:space="preserve">Demande créée.</t>
  </si>
  <si>
    <t xml:space="preserve">RSA, AF</t>
  </si>
  <si>
    <t xml:space="preserve">RSA vise ; AF accorde 6 000 000.</t>
  </si>
  <si>
    <t xml:space="preserve">La demande passe « Chez l’Inspecteur Général » ; DIR reçoit un e-mail.</t>
  </si>
  <si>
    <t xml:space="preserve">Visas › Examiner ; cliquer sur « Refuser » sans avis.</t>
  </si>
  <si>
    <t xml:space="preserve">Refus impossible sans avis.</t>
  </si>
  <si>
    <t xml:space="preserve">Saisir l’avis « Reporter au mois prochain » et « Refuser ».</t>
  </si>
  <si>
    <t xml:space="preserve">La demande passe « Refusées » ; AGA voit l’avis de l’IG.</t>
  </si>
  <si>
    <t xml:space="preserve">AGA, RSA, AF, DIR</t>
  </si>
  <si>
    <t xml:space="preserve">Créer une deuxième demande de 5 500 000 et la faire viser par RSA, AF puis DIR.</t>
  </si>
  <si>
    <t xml:space="preserve">Après le visa IG, la demande est « À décaisser ».</t>
  </si>
  <si>
    <t xml:space="preserve">Décaisser la demande (motif de dérogation si l’application le demande).</t>
  </si>
  <si>
    <t xml:space="preserve">Avance de 5 500 000 inscrite dans la caisse du service A.</t>
  </si>
  <si>
    <t xml:space="preserve">UAT-15</t>
  </si>
  <si>
    <t xml:space="preserve">Saisie d’une dépense sur ordinateur</t>
  </si>
  <si>
    <t xml:space="preserve">Nouvelle écriture : date du jour (jour ouvré), 250 000, rubrique R01, description « Rames de papier A4 », fournisseur « Papeterie Recette SARL », pièce FAC-REC-001, mode Espèces, statut Payée, joindre la facture PDF.</t>
  </si>
  <si>
    <t xml:space="preserve">L’encadré « Contrôles en direct » affiche la caisse après l’opération et le disponible de R01.</t>
  </si>
  <si>
    <t xml:space="preserve">Cliquer sur « Enregistrer l’écriture ».</t>
  </si>
  <si>
    <t xml:space="preserve">Message de confirmation avec le numéro (SERVICE-2026-00000x) ; état « Non transmise ».</t>
  </si>
  <si>
    <t xml:space="preserve">Vérifier l’accueil et le budget.</t>
  </si>
  <si>
    <t xml:space="preserve">Caisse diminuée de 250 000 ; consommé R01 augmenté de 250 000.</t>
  </si>
  <si>
    <t xml:space="preserve">Ouvrir l’écriture depuis le livre de caisse et ajouter le bon de réception (« Ajouter une pièce »).</t>
  </si>
  <si>
    <t xml:space="preserve">Deux pièces jointes ; l’écriture elle-même n’est pas modifiable (aucun champ éditable).</t>
  </si>
  <si>
    <t xml:space="preserve">Vérifier que la rubrique désactivée R99 (UAT-03) n’est pas proposée.</t>
  </si>
  <si>
    <t xml:space="preserve">R99 absente de la liste.</t>
  </si>
  <si>
    <t xml:space="preserve">UAT-16</t>
  </si>
  <si>
    <t xml:space="preserve">Saisie sur téléphone avec photo et nouveau fournisseur</t>
  </si>
  <si>
    <t xml:space="preserve">Ouvrir le site sur le téléphone, se connecter, ouvrir le menu.</t>
  </si>
  <si>
    <t xml:space="preserve">Le menu se replie derrière « Menu » ; l’écran ne déborde pas horizontalement.</t>
  </si>
  <si>
    <t xml:space="preserve">Nouvelle écriture : R06, 50 000, « Recharge internet », fournisseur « + Nouveau fournisseur… » (raison sociale et téléphone), pièce REC-REC-002, photographier le reçu avec l’appareil photo.</t>
  </si>
  <si>
    <t xml:space="preserve">La photo est acceptée et réduite automatiquement.</t>
  </si>
  <si>
    <t xml:space="preserve">Enregistrer.</t>
  </si>
  <si>
    <t xml:space="preserve">Écriture enregistrée ; le fournisseur est créé et proposé dans les saisies suivantes.</t>
  </si>
  <si>
    <t xml:space="preserve">Ouvrir Fournisseurs.</t>
  </si>
  <si>
    <t xml:space="preserve">Le nouveau fournisseur figure dans la liste.</t>
  </si>
  <si>
    <t xml:space="preserve">UAT-17</t>
  </si>
  <si>
    <t xml:space="preserve">Contrôles bloquants à la saisie</t>
  </si>
  <si>
    <t xml:space="preserve">Saisir une sortie R07 d’un montant supérieur au solde de caisse.</t>
  </si>
  <si>
    <t xml:space="preserve">Refus « Caisse insuffisante… » ; les champs saisis sont conservés.</t>
  </si>
  <si>
    <t xml:space="preserve">Saisir une sortie R06 supérieure au disponible de R06.</t>
  </si>
  <si>
    <t xml:space="preserve">Refus « Dépassement du budget… Une révision budgétaire est nécessaire ».</t>
  </si>
  <si>
    <t xml:space="preserve">Saisir une sortie de 2 100 000 en Espèces (caisse alimentée par le décaissement de UAT-14).</t>
  </si>
  <si>
    <t xml:space="preserve">Refus « Paiement en espèces limité à 2 000 000 CDF ».</t>
  </si>
  <si>
    <t xml:space="preserve">Saisir une sortie sans numéro de pièce, puis sans fichier joint.</t>
  </si>
  <si>
    <t xml:space="preserve">Deux refus successifs : numéro de pièce obligatoire ; pièce justificative obligatoire.</t>
  </si>
  <si>
    <t xml:space="preserve">Joindre un fichier .docx, puis une photo de plus de 5 Mo (depuis un ordinateur).</t>
  </si>
  <si>
    <t xml:space="preserve">Refus « Format refusé… » puis « La pièce dépasse 5 Mo ».</t>
  </si>
  <si>
    <t xml:space="preserve">Saisir une date dans le futur.</t>
  </si>
  <si>
    <t xml:space="preserve">Refus de la date.</t>
  </si>
  <si>
    <t xml:space="preserve">Saisir une sortie sur une rubrique sans budget (par exemple R05).</t>
  </si>
  <si>
    <t xml:space="preserve">Budget facultatif : l’écriture passe ; si A&amp;F a rendu le budget obligatoire, refus « Aucun budget n’est défini pour cette rubrique ».</t>
  </si>
  <si>
    <t xml:space="preserve">UAT-18</t>
  </si>
  <si>
    <t xml:space="preserve">Détection des anomalies</t>
  </si>
  <si>
    <t xml:space="preserve">Saisir de nouveau la facture FAC-REC-001 du même fournisseur (doublon).</t>
  </si>
  <si>
    <t xml:space="preserve">Enregistrement accepté.</t>
  </si>
  <si>
    <t xml:space="preserve">Saisir deux achats de 1 100 000 et 1 000 000 au même bénéficiaire, en espèces, à 2 jours d’intervalle (fractionnement).</t>
  </si>
  <si>
    <t xml:space="preserve">Enregistrements acceptés.</t>
  </si>
  <si>
    <t xml:space="preserve">Saisir une dépense datée du dernier dimanche.</t>
  </si>
  <si>
    <t xml:space="preserve">Saisir une dépense dont le bénéficiaire est « Autre bénéficiaire » avec le nom de l’agent AGA.</t>
  </si>
  <si>
    <t xml:space="preserve">Saisir une dépense datée de 12 jours avant aujourd’hui (saisie tardive) ; une dépense R01 avec la seule facture (dossier incomplet).</t>
  </si>
  <si>
    <t xml:space="preserve">AGA, AF</t>
  </si>
  <si>
    <t xml:space="preserve">AGA transmet (UAT-24) ; AF ouvre Vérification › « Avec anomalie ».</t>
  </si>
  <si>
    <t xml:space="preserve">Chaque écriture porte l’anomalie attendue : doublon, fractionnement, jour non ouvré, bénéficiaire = agent, saisie tardive, dossier incomplet.</t>
  </si>
  <si>
    <t xml:space="preserve">UAT-19</t>
  </si>
  <si>
    <t xml:space="preserve">Engagement puis paiement (sous le seuil de la chaîne)</t>
  </si>
  <si>
    <t xml:space="preserve">Saisir une sortie R03 de 400 000 au statut « Engagée », pièce « Bon de commande BC-REC-01 ».</t>
  </si>
  <si>
    <t xml:space="preserve">Caisse inchangée ; carte « Engagements en cours » = 400 000 ; disponible R03 diminué.</t>
  </si>
  <si>
    <t xml:space="preserve">Ouvrir l’écriture et utiliser « Payer l’engagement » (date du jour, Espèces).</t>
  </si>
  <si>
    <t xml:space="preserve">Statut « Payée » ; la caisse diminue de 400 000 ; engagements en cours = 0.</t>
  </si>
  <si>
    <t xml:space="preserve">UAT-20</t>
  </si>
  <si>
    <t xml:space="preserve">Chaîne complète de la dépense (1 000 000 CDF et plus)</t>
  </si>
  <si>
    <t xml:space="preserve">Saisir un engagement R07 de 1 200 000, pièce BC-REC-02.</t>
  </si>
  <si>
    <t xml:space="preserve">Engagement enregistré ; la frise indique « Liquidation : à faire ».</t>
  </si>
  <si>
    <t xml:space="preserve">Tenter « Payer l’engagement ».</t>
  </si>
  <si>
    <t xml:space="preserve">Refus : « Dépense de 1 000 000 CDF ou plus : constatez le service fait (liquidation) puis obtenez l’ordonnancement avant de payer ».</t>
  </si>
  <si>
    <t xml:space="preserve">Renseigner « Service fait le » et « Facture reçue n° » FAC-REC-010 ; valider la liquidation.</t>
  </si>
  <si>
    <t xml:space="preserve">Étape « Ordonnancement en cours » ; RSA est prévenu.</t>
  </si>
  <si>
    <t xml:space="preserve">Visas › Examiner l’ordonnancement › « Viser ».</t>
  </si>
  <si>
    <t xml:space="preserve">Visa chef de service enregistré ; A&amp;F est prévenu.</t>
  </si>
  <si>
    <t xml:space="preserve">Ouvrir le dossier de dépense par le lien de l’avis ; « Viser ».</t>
  </si>
  <si>
    <t xml:space="preserve">Étape « Ordonnancée, à payer ».</t>
  </si>
  <si>
    <t xml:space="preserve">Payer l’engagement (mode Chèque).</t>
  </si>
  <si>
    <t xml:space="preserve">Paiement accepté ; la frise affiche les 4 étapes franchies avec leurs dates.</t>
  </si>
  <si>
    <t xml:space="preserve">UAT-21</t>
  </si>
  <si>
    <t xml:space="preserve">Saisie d’une dépense en dollars</t>
  </si>
  <si>
    <t xml:space="preserve">Saisir une dépense en dollars alors qu’aucun taux n’est fixé.</t>
  </si>
  <si>
    <t xml:space="preserve">Refus « Aucun taux du jour n’est fixé à cette date… ».</t>
  </si>
  <si>
    <t xml:space="preserve">Trésorerie › Taux du jour : date du jour, 2 850 ; « Fixer le taux ».</t>
  </si>
  <si>
    <t xml:space="preserve">Le taux apparaît dans la liste.</t>
  </si>
  <si>
    <t xml:space="preserve">Saisir une dépense de 100 USD (R01).</t>
  </si>
  <si>
    <t xml:space="preserve">Contrôle et enregistrement sur 285 000 CDF ; l’écriture mentionne « 100,00 USD × 2 850 ».</t>
  </si>
  <si>
    <t xml:space="preserve">Fonctions du site : désactiver « Devise USD ».</t>
  </si>
  <si>
    <t xml:space="preserve">La devise disparaît du formulaire de saisie et du billetage ; l’écriture déjà saisie garde sa mention. Réactiver ensuite.</t>
  </si>
  <si>
    <t xml:space="preserve">UAT-22</t>
  </si>
  <si>
    <t xml:space="preserve">Saisie hors connexion</t>
  </si>
  <si>
    <t xml:space="preserve">Couper les données mobiles et le Wi-Fi ; saisir une dépense de 30 000 (R06) avec photo ; enregistrer.</t>
  </si>
  <si>
    <t xml:space="preserve">L’écriture est rangée sur le téléphone ; un bandeau indique 1 écriture en attente.</t>
  </si>
  <si>
    <t xml:space="preserve">Saisir une deuxième écriture volontairement invalide (montant supérieur au disponible R06).</t>
  </si>
  <si>
    <t xml:space="preserve">Elle est aussi rangée en attente.</t>
  </si>
  <si>
    <t xml:space="preserve">Rétablir le réseau ; ouvrir Saisie hors connexion.</t>
  </si>
  <si>
    <t xml:space="preserve">La première écriture est envoyée et apparaît au livre de caisse ; la seconde reste dans la liste avec le motif du refus.</t>
  </si>
  <si>
    <t xml:space="preserve">Cliquer de nouveau sur « Envoyer maintenant ».</t>
  </si>
  <si>
    <t xml:space="preserve">Aucun doublon n’est créé.</t>
  </si>
  <si>
    <t xml:space="preserve">UAT-23</t>
  </si>
  <si>
    <t xml:space="preserve">Contrepassation d’une écriture erronée</t>
  </si>
  <si>
    <t xml:space="preserve">Ouvrir l’écriture ; dans « Contrepasser (annuler) », cliquer sur « Contrepasser » sans motif.</t>
  </si>
  <si>
    <t xml:space="preserve">Refus : motif obligatoire.</t>
  </si>
  <si>
    <t xml:space="preserve">Saisir le motif « Montant erroné » et confirmer.</t>
  </si>
  <si>
    <t xml:space="preserve">Une écriture de -54 000 apparaît ; caisse et budget sont rétablis ; l’originale reste visible.</t>
  </si>
  <si>
    <t xml:space="preserve">Tenter de contrepasser la contrepassation, puis l’originale une seconde fois.</t>
  </si>
  <si>
    <t xml:space="preserve">Deux refus explicites.</t>
  </si>
  <si>
    <t xml:space="preserve">Tenter de contrepasser l’entrée d’avance de fonds.</t>
  </si>
  <si>
    <t xml:space="preserve">Refus : seule A&amp;F peut annuler une avance.</t>
  </si>
  <si>
    <t xml:space="preserve">Journal d’audit.</t>
  </si>
  <si>
    <t xml:space="preserve">La contrepassation est tracée avec son motif et son auteur.</t>
  </si>
  <si>
    <t xml:space="preserve">UAT-24</t>
  </si>
  <si>
    <t xml:space="preserve">Livre de caisse : filtres et exports</t>
  </si>
  <si>
    <t xml:space="preserve">Filtrer par mois, rubrique, statut et état ; cliquer sur « Filtrer ».</t>
  </si>
  <si>
    <t xml:space="preserve">Seules les écritures correspondantes s’affichent ; le solde au début de la période est cohérent.</t>
  </si>
  <si>
    <t xml:space="preserve">Cliquer sur « Excel » puis sur « PDF ».</t>
  </si>
  <si>
    <t xml:space="preserve">Les fichiers s’ouvrent ; les totaux et soldes correspondent à l’écran.</t>
  </si>
  <si>
    <t xml:space="preserve">UAT-25</t>
  </si>
  <si>
    <t xml:space="preserve">Transmission d’un lot au central</t>
  </si>
  <si>
    <t xml:space="preserve">Ouvrir Transmission ; contrôler le récapitulatif (lignes, totaux, pièces, anomalies).</t>
  </si>
  <si>
    <t xml:space="preserve">Les chiffres correspondent aux écritures non transmises.</t>
  </si>
  <si>
    <t xml:space="preserve">Cliquer sur « Transmettre le lot ».</t>
  </si>
  <si>
    <t xml:space="preserve">Lot TR-… créé ; les écritures passent « À vérifier » ; elles ne sont plus modifiables ni contrepassables sans suite.</t>
  </si>
  <si>
    <t xml:space="preserve">Transmettre les écritures du service B.</t>
  </si>
  <si>
    <t xml:space="preserve">Lot créé.</t>
  </si>
  <si>
    <t xml:space="preserve">Ouvrir Vérification › Lots reçus.</t>
  </si>
  <si>
    <t xml:space="preserve">Les deux lots apparaissent avec leur nombre de lignes ; AF a reçu un avis.</t>
  </si>
  <si>
    <t xml:space="preserve">UAT-26</t>
  </si>
  <si>
    <t xml:space="preserve">Vérification : valider à l’unité et en masse</t>
  </si>
  <si>
    <t xml:space="preserve">Cliquer sur l’identifiant d’une écriture sans anomalie.</t>
  </si>
  <si>
    <t xml:space="preserve">Le panneau de détail montre les pièces (ouvrables), les pièces exigées, le disponible et l’auteur de la saisie.</t>
  </si>
  <si>
    <t xml:space="preserve">Cliquer sur « Valider ».</t>
  </si>
  <si>
    <t xml:space="preserve">État « Validée » ; l’écriture compte dans la consolidation et la justification de l’avance.</t>
  </si>
  <si>
    <t xml:space="preserve">Cliquer sur « Valider les N sans anomalie ».</t>
  </si>
  <si>
    <t xml:space="preserve">Toutes les écritures sans anomalie sont validées ; celles avec anomalie restent à vérifier.</t>
  </si>
  <si>
    <t xml:space="preserve">Cocher deux écritures avec anomalie examinées et justifiées ; « Valider la sélection ».</t>
  </si>
  <si>
    <t xml:space="preserve">Les deux écritures sont validées.</t>
  </si>
  <si>
    <t xml:space="preserve">UAT-27</t>
  </si>
  <si>
    <t xml:space="preserve">Question au service et réponse</t>
  </si>
  <si>
    <t xml:space="preserve">Dans le détail, saisir « Joignez le bon de réception signé » et cliquer sur « Envoyer la question ».</t>
  </si>
  <si>
    <t xml:space="preserve">L’écriture apparaît dans « Échanges en cours » avec « Question posée » ; AGA reçoit un e-mail.</t>
  </si>
  <si>
    <t xml:space="preserve">Accueil : bandeau « 1 question d’Administration et Finance » ; cliquer sur « Répondre » ; saisir la réponse, joindre le bon de réception (nature « Bon de réception ») ; « Répondre ».</t>
  </si>
  <si>
    <t xml:space="preserve">Message « Réponse envoyée à Administration et Finance ».</t>
  </si>
  <si>
    <t xml:space="preserve">Rouvrir l’écriture.</t>
  </si>
  <si>
    <t xml:space="preserve">La réponse et la pièce sont visibles ; le dossier passe « complet » ; AF peut valider.</t>
  </si>
  <si>
    <t xml:space="preserve">UAT-28</t>
  </si>
  <si>
    <t xml:space="preserve">Rejet, correction et retransmission</t>
  </si>
  <si>
    <t xml:space="preserve">Sélectionner l’écriture doublon, cliquer sur « Rejeter » sans motif.</t>
  </si>
  <si>
    <t xml:space="preserve">Saisir « Facture déjà saisie (doublon) » et rejeter.</t>
  </si>
  <si>
    <t xml:space="preserve">État « Rejetée » ; le service reçoit un e-mail avec le motif.</t>
  </si>
  <si>
    <t xml:space="preserve">Transmission › Rejets à corriger › « Corriger » ; contrepasser l’écriture avec un motif.</t>
  </si>
  <si>
    <t xml:space="preserve">La contrepassation est créée ; le rejet disparaît de la liste.</t>
  </si>
  <si>
    <t xml:space="preserve">Transmettre.</t>
  </si>
  <si>
    <t xml:space="preserve">La contrepassation part dans le lot ; caisse et budget rétablis après validation.</t>
  </si>
  <si>
    <t xml:space="preserve">Valider la contrepassation.</t>
  </si>
  <si>
    <t xml:space="preserve">L’écriture rejetée n’est pas comptée dans la consolidation.</t>
  </si>
  <si>
    <t xml:space="preserve">UAT-29</t>
  </si>
  <si>
    <t xml:space="preserve">Justification de l’avance et nouvelle avance</t>
  </si>
  <si>
    <t xml:space="preserve">Ouvrir Avances : contrôler le taux de justification de la dernière avance du service A.</t>
  </si>
  <si>
    <t xml:space="preserve">Le taux correspond aux dépenses validées (règle premier entré, premier sorti).</t>
  </si>
  <si>
    <t xml:space="preserve">Si le taux est inférieur à 80 %, remettre une avance sans motif puis avec un motif de dérogation.</t>
  </si>
  <si>
    <t xml:space="preserve">Refus sans motif ; acceptation avec motif ; la dérogation est tracée.</t>
  </si>
  <si>
    <t xml:space="preserve">Lorsque le taux atteint 80 %, remettre une nouvelle avance.</t>
  </si>
  <si>
    <t xml:space="preserve">Avance acceptée sans dérogation.</t>
  </si>
  <si>
    <t xml:space="preserve">Annuler une avance enregistrée par erreur, avec motif.</t>
  </si>
  <si>
    <t xml:space="preserve">Une contrepassation retire le montant de la caisse du service ; l’annulation est tracée.</t>
  </si>
  <si>
    <t xml:space="preserve">UAT-30</t>
  </si>
  <si>
    <t xml:space="preserve">Ordre de mission de bout en bout</t>
  </si>
  <si>
    <t xml:space="preserve">Missions › Nouvel ordre de mission : objet, destination, zone Province, départ demain, retour dans 3 jours, 2 inspecteurs et 1 chauffeur ; « Soumettre aux visas ».</t>
  </si>
  <si>
    <t xml:space="preserve">OM-… créé ; frais calculés selon le barème (indemnités × jours, hébergement × nuits, transport, frais divers).</t>
  </si>
  <si>
    <t xml:space="preserve">Vérifier le calcul d’un membre à la main avec le barème.</t>
  </si>
  <si>
    <t xml:space="preserve">Montant identique.</t>
  </si>
  <si>
    <t xml:space="preserve">Viser l’ordre de mission (et DIR si le total dépasse 5 000 000).</t>
  </si>
  <si>
    <t xml:space="preserve">État « Approuvée, à payer » ; l’ordre de mission officiel est disponible en PDF avec code QR.</t>
  </si>
  <si>
    <t xml:space="preserve">Tenter de payer la mission depuis le compte A&amp;F.</t>
  </si>
  <si>
    <t xml:space="preserve">Refus : le paiement est enregistré par le service qui organise la mission.</t>
  </si>
  <si>
    <t xml:space="preserve">« Payer les frais » en Espèces pour un total supérieur à 2 000 000, puis en Chèque.</t>
  </si>
  <si>
    <t xml:space="preserve">Espèces refusées (plafond) ; Chèque accepté : sortie R07 au livre avec l’OM en pièce jointe.</t>
  </si>
  <si>
    <t xml:space="preserve">Après la date de retour, tenter « Liquider la mission » sans rapport.</t>
  </si>
  <si>
    <t xml:space="preserve">Refus « Déposez d’abord le rapport de mission ».</t>
  </si>
  <si>
    <t xml:space="preserve">Déposer le rapport de mission et l’état de paiement émargé ; liquider avec un coût réel inférieur de 100 000 et un motif.</t>
  </si>
  <si>
    <t xml:space="preserve">Mission « Liquidée » ; une entrée de reversement de 100 000 est inscrite au livre.</t>
  </si>
  <si>
    <t xml:space="preserve">UAT-31</t>
  </si>
  <si>
    <t xml:space="preserve">Arrêté de caisse mensuel sans écart</t>
  </si>
  <si>
    <t xml:space="preserve">Arrêté de caisse : choisir le mois ; s’il reste des écritures non transmises, lire le bandeau.</t>
  </si>
  <si>
    <t xml:space="preserve">Bandeau orange listant les écritures à transmettre avant la clôture.</t>
  </si>
  <si>
    <t xml:space="preserve">Saisir le billetage correspondant exactement au solde du livre ; « Enregistrer le comptage ».</t>
  </si>
  <si>
    <t xml:space="preserve">Écart = 0.</t>
  </si>
  <si>
    <t xml:space="preserve">Tenter de signer comme Responsable.</t>
  </si>
  <si>
    <t xml:space="preserve">Refus : seul le Responsable du service signe l’arrêté.</t>
  </si>
  <si>
    <t xml:space="preserve">Signer comme agent qui a compté la caisse.</t>
  </si>
  <si>
    <t xml:space="preserve">RSA est prévenu.</t>
  </si>
  <si>
    <t xml:space="preserve">Ouvrir l’arrêté et signer comme Responsable.</t>
  </si>
  <si>
    <t xml:space="preserve">Mois clôturé ; procès-verbal PV-… disponible en PDF avec code QR.</t>
  </si>
  <si>
    <t xml:space="preserve">Tenter de saisir une dépense datée du mois clôturé.</t>
  </si>
  <si>
    <t xml:space="preserve">Refus « Ce mois est déjà clôturé ».</t>
  </si>
  <si>
    <t xml:space="preserve">Caisses.</t>
  </si>
  <si>
    <t xml:space="preserve">Le service A apparaît « Signé le … » pour ce mois.</t>
  </si>
  <si>
    <t xml:space="preserve">UAT-32</t>
  </si>
  <si>
    <t xml:space="preserve">Arrêté avec écart et séparation des tâches</t>
  </si>
  <si>
    <t xml:space="preserve">Compter la caisse du mois en déclarant 5 000 de moins que le solde du livre ; « Enregistrer le comptage » sans explication, puis signer.</t>
  </si>
  <si>
    <t xml:space="preserve">Écart de -5 000 affiché ; signature refusée tant que l’écart n’est pas expliqué.</t>
  </si>
  <si>
    <t xml:space="preserve">Saisir une explication de l’écart, enregistrer de nouveau et signer comme agent.</t>
  </si>
  <si>
    <t xml:space="preserve">Signature de l’agent acceptée ; RSB est prévenu.</t>
  </si>
  <si>
    <t xml:space="preserve">Avant la contresignature, saisir une nouvelle dépense datée du mois (mois encore ouvert).</t>
  </si>
  <si>
    <t xml:space="preserve">Écriture acceptée.</t>
  </si>
  <si>
    <t xml:space="preserve">Tenter de contresigner.</t>
  </si>
  <si>
    <t xml:space="preserve">Refus : le solde du livre a changé depuis le comptage ; l’agent doit recompter.</t>
  </si>
  <si>
    <t xml:space="preserve">AGB recompte et signe ; RSB contresigne.</t>
  </si>
  <si>
    <t xml:space="preserve">Mois clôturé ; le procès-verbal mentionne l’écart et son explication ; la colonne « Écart » de l’écran Caisses chez A&amp;F le signale.</t>
  </si>
  <si>
    <t xml:space="preserve">En fin de campagne, sur un mois ouvert du service A : compter la caisse soi-même, signer comme agent, puis tenter de signer comme Responsable.</t>
  </si>
  <si>
    <t xml:space="preserve">Refus : le Responsable qui contresigne doit être une autre personne que celle qui a compté.</t>
  </si>
  <si>
    <t xml:space="preserve">UAT-33</t>
  </si>
  <si>
    <t xml:space="preserve">Comptage inopiné</t>
  </si>
  <si>
    <t xml:space="preserve">Caisses › « Déclencher un comptage inopiné » ; service B ; « Commencer le comptage ».</t>
  </si>
  <si>
    <t xml:space="preserve">Formulaire de billetage avec le solde du livre.</t>
  </si>
  <si>
    <t xml:space="preserve">Indiquer comme agent présent un agent d’un autre service.</t>
  </si>
  <si>
    <t xml:space="preserve">Refus.</t>
  </si>
  <si>
    <t xml:space="preserve">Saisir le billetage, l’agent AGB, les constatations ; « Enregistrer le procès-verbal ».</t>
  </si>
  <si>
    <t xml:space="preserve">PV CI-… créé ; AGB est prévenu.</t>
  </si>
  <si>
    <t xml:space="preserve">Contresigner le procès-verbal depuis son compte.</t>
  </si>
  <si>
    <t xml:space="preserve">PV contresigné ; la colonne « Dernier comptage inopiné » est à jour.</t>
  </si>
  <si>
    <t xml:space="preserve">UAT-34</t>
  </si>
  <si>
    <t xml:space="preserve">Plan de trésorerie</t>
  </si>
  <si>
    <t xml:space="preserve">Trésorerie : ajouter des fonds attendus le mois prochain (« Dotation de test », 50 000 000) ; « Ajouter au plan ».</t>
  </si>
  <si>
    <t xml:space="preserve">Le solde de fin du mois concerné augmente de 50 000 000.</t>
  </si>
  <si>
    <t xml:space="preserve">Contrôler les lignes « Demandes de fonds en cours » et « Missions à payer ».</t>
  </si>
  <si>
    <t xml:space="preserve">Les montants correspondent aux dossiers non décaissés et non payés.</t>
  </si>
  <si>
    <t xml:space="preserve">Retirer les fonds attendus de test.</t>
  </si>
  <si>
    <t xml:space="preserve">Le plan revient à sa valeur précédente.</t>
  </si>
  <si>
    <t xml:space="preserve">UAT-35</t>
  </si>
  <si>
    <t xml:space="preserve">Rapprochement bancaire</t>
  </si>
  <si>
    <t xml:space="preserve">Déclarer le compte bancaire principal (banque, intitulé, numéro, solde de départ).</t>
  </si>
  <si>
    <t xml:space="preserve">Le numéro est affiché masqué (4 derniers chiffres).</t>
  </si>
  <si>
    <t xml:space="preserve">Importer le relevé avec son solde final ; « Importer et rapprocher ».</t>
  </si>
  <si>
    <t xml:space="preserve">Les opérations de même montant et de date proche sont rapprochées.</t>
  </si>
  <si>
    <t xml:space="preserve">Importer une seconde fois le même relevé.</t>
  </si>
  <si>
    <t xml:space="preserve">Aucune ligne n’est ajoutée deux fois.</t>
  </si>
  <si>
    <t xml:space="preserve">Enregistrer les frais bancaires du relevé comme « Mouvement bancaire » ; expliquer un chèque non encaissé.</t>
  </si>
  <si>
    <t xml:space="preserve">L’écart inexpliqué devient nul.</t>
  </si>
  <si>
    <t xml:space="preserve">« État de rapprochement (PDF) ».</t>
  </si>
  <si>
    <t xml:space="preserve">Le PDF reprend soldes, suspens et explications.</t>
  </si>
  <si>
    <t xml:space="preserve">UAT-36</t>
  </si>
  <si>
    <t xml:space="preserve">Véhicules, documents de bord et chauffeurs</t>
  </si>
  <si>
    <t xml:space="preserve">Ajouter le véhicule V1 (4x4, 7 places, réservoir 90 L, référence 12 L/100, compteur 50 000, affecté au service A) et V2 (pick-up, 2 places, pool central).</t>
  </si>
  <si>
    <t xml:space="preserve">Les deux véhicules sont listés.</t>
  </si>
  <si>
    <t xml:space="preserve">Ajouter un véhicule avec une immatriculation déjà utilisée.</t>
  </si>
  <si>
    <t xml:space="preserve">Refus « Un véhicule porte déjà cette immatriculation ».</t>
  </si>
  <si>
    <t xml:space="preserve">Fiche V1 : enregistrer assurance, contrôle technique et vignette valides, avec pièce. Fiche V2 : assurance expirée.</t>
  </si>
  <si>
    <t xml:space="preserve">V1 « À jour » ; V2 « À renouveler » et signalé dans « À suivre ».</t>
  </si>
  <si>
    <t xml:space="preserve">Chauffeurs : ajouter C1 (permis valide) et C2 (permis expiré).</t>
  </si>
  <si>
    <t xml:space="preserve">C2 est signalé ; l’échéance d’un permis à moins de 30 jours est aussi signalée.</t>
  </si>
  <si>
    <t xml:space="preserve">UAT-37</t>
  </si>
  <si>
    <t xml:space="preserve">Demande de véhicule, attribution, départ et retour</t>
  </si>
  <si>
    <t xml:space="preserve">Véhicules › Demander un véhicule : demain 8 h–17 h, 4 passagers ; « Demander un véhicule ».</t>
  </si>
  <si>
    <t xml:space="preserve">Demande OR-… « Demande à traiter » ; A&amp;F prévenu.</t>
  </si>
  <si>
    <t xml:space="preserve">Attribuer V2 (2 places, assurance expirée) puis V1 avec C2.</t>
  </si>
  <si>
    <t xml:space="preserve">Refus pour capacité/assurance puis pour permis expiré.</t>
  </si>
  <si>
    <t xml:space="preserve">Attribuer V1 avec C1.</t>
  </si>
  <si>
    <t xml:space="preserve">« Véhicule attribué » ; AGA reçoit un e-mail.</t>
  </si>
  <si>
    <t xml:space="preserve">Créer un autre ordre de route sur V1 à la même période.</t>
  </si>
  <si>
    <t xml:space="preserve">Refus : véhicule déjà retenu.</t>
  </si>
  <si>
    <t xml:space="preserve">Ouvrir le déplacement ; départ avec un compteur inférieur au dernier relevé, puis 50 120.</t>
  </si>
  <si>
    <t xml:space="preserve">Refus puis « Départ enregistré ».</t>
  </si>
  <si>
    <t xml:space="preserve">Retour avec 50 100, puis 50 265 et l’observation « Rétroviseur cassé ».</t>
  </si>
  <si>
    <t xml:space="preserve">Refus puis « Retour enregistré » : 145 km ; A&amp;F reçoit l’observation.</t>
  </si>
  <si>
    <t xml:space="preserve">UAT-38</t>
  </si>
  <si>
    <t xml:space="preserve">Carburant, dotations et bons</t>
  </si>
  <si>
    <t xml:space="preserve">Dotations et bons : dotation V1 = 150 litres par mois ; dotation service A = 2 000 000 CDF.</t>
  </si>
  <si>
    <t xml:space="preserve">Dotations listées avec 0 % utilisé.</t>
  </si>
  <si>
    <t xml:space="preserve">Recevoir un carnet : préfixe RC-, du 1201 au 1220, valeur 30 000 CDF, station de test.</t>
  </si>
  <si>
    <t xml:space="preserve">« Carnet enregistré » ; 20 bons « En réserve ».</t>
  </si>
  <si>
    <t xml:space="preserve">Remettre les bons « RC-1201 à RC-1210 » à V1 et C1.</t>
  </si>
  <si>
    <t xml:space="preserve">10 bons remis (la plage écrite avec « à » est comprise).</t>
  </si>
  <si>
    <t xml:space="preserve">Enregistrer un plein V1 : 20 L, 60 000, compteur 50 300, bons RC-1201, RC-1202, plein complet.</t>
  </si>
  <si>
    <t xml:space="preserve">Plein « Normal » ; les deux bons passent « Utilisé ».</t>
  </si>
  <si>
    <t xml:space="preserve">Enregistrer un plein avec le bon RC-1201 déjà utilisé, puis avec RC-1215 (non remis).</t>
  </si>
  <si>
    <t xml:space="preserve">Refus ou anomalie : bon déjà utilisé ; bon non remis au véhicule.</t>
  </si>
  <si>
    <t xml:space="preserve">Enregistrer des pleins jusqu’à dépasser 150 L dans le mois.</t>
  </si>
  <si>
    <t xml:space="preserve">Alerte à 80 % ; au-delà, refus pour l’agent.</t>
  </si>
  <si>
    <t xml:space="preserve">Enregistrer le plein dépassant la dotation avec une dérogation de moins de 10 caractères, puis motivée.</t>
  </si>
  <si>
    <t xml:space="preserve">Refus puis acceptation ; la dérogation est tracée.</t>
  </si>
  <si>
    <t xml:space="preserve">Annuler le bon RC-1220 (motif « perdu »).</t>
  </si>
  <si>
    <t xml:space="preserve">Bon « Annulé » ; il est refusé à l’usage.</t>
  </si>
  <si>
    <t xml:space="preserve">Carburant › filtre « Anomalies ».</t>
  </si>
  <si>
    <t xml:space="preserve">Les pleins signalés (consommation excessive, bons non conformes) apparaissent.</t>
  </si>
  <si>
    <t xml:space="preserve">UAT-39</t>
  </si>
  <si>
    <t xml:space="preserve">Entretien, sinistre, immobilisation et coûts</t>
  </si>
  <si>
    <t xml:space="preserve">Fiche V1 : planifier une vidange (date prévue dans 7 jours).</t>
  </si>
  <si>
    <t xml:space="preserve">L’intervention apparaît « Planifié ».</t>
  </si>
  <si>
    <t xml:space="preserve">Clore la vidange (date du jour, 250 000, prochaine échéance 55 000 km).</t>
  </si>
  <si>
    <t xml:space="preserve">« Réalisé » ; le coût d’entretien de V1 augmente de 250 000.</t>
  </si>
  <si>
    <t xml:space="preserve">Enregistrer un sinistre avec une description de 5 mots, puis complète.</t>
  </si>
  <si>
    <t xml:space="preserve">Refus puis acceptation.</t>
  </si>
  <si>
    <t xml:space="preserve">Passer V2 « Immobilisé » avec motif ; tenter de l’attribuer.</t>
  </si>
  <si>
    <t xml:space="preserve">Attribution refusée tant que le véhicule est immobilisé.</t>
  </si>
  <si>
    <t xml:space="preserve">Onglet Coûts ; bouton « Excel ».</t>
  </si>
  <si>
    <t xml:space="preserve">Carburant, entretien, sinistres et documents par véhicule ; coût/km calculé ; l’export contient les feuilles Véhicules et coûts, Carburant, Carnet de bord, Entretien, Dotations, Bons.</t>
  </si>
  <si>
    <t xml:space="preserve">UAT-40</t>
  </si>
  <si>
    <t xml:space="preserve">Articles : créer PAP-A4 (rame, seuil 20) et TON-85A (unité, seuil 2) ; tenter de recréer PAP-A4.</t>
  </si>
  <si>
    <t xml:space="preserve">Articles créés ; doublon refusé.</t>
  </si>
  <si>
    <t xml:space="preserve">Entrée : 50 PAP-A4 à 10 000 et 5 TON-85A à 95 000 ; puis 50 PAP-A4 à 12 000.</t>
  </si>
  <si>
    <t xml:space="preserve">Stock PAP-A4 = 100 ; coût moyen = 11 000 ; valeur du stock cohérente.</t>
  </si>
  <si>
    <t xml:space="preserve">Sortie vers le service A : 30 PAP-A4 et 9 TON-85A.</t>
  </si>
  <si>
    <t xml:space="preserve">Bon entier refusé (stock de toner insuffisant) ; aucun article n’est sorti.</t>
  </si>
  <si>
    <t xml:space="preserve">Sortie vers le service A : 30 PAP-A4 et 4 TON-85A.</t>
  </si>
  <si>
    <t xml:space="preserve">Sortie acceptée ; TON-85A passe « À commander » (sous le seuil).</t>
  </si>
  <si>
    <t xml:space="preserve">Inventaire : saisir 68 PAP-A4 comptés et un motif ; « Valider l’inventaire ».</t>
  </si>
  <si>
    <t xml:space="preserve">Ajustement de -2 ; mouvement d’inventaire visible.</t>
  </si>
  <si>
    <t xml:space="preserve">Consommation par bureau ; « Excel ».</t>
  </si>
  <si>
    <t xml:space="preserve">Le service A figure avec la valeur consommée ; l’export est conforme.</t>
  </si>
  <si>
    <t xml:space="preserve">UAT-41</t>
  </si>
  <si>
    <t xml:space="preserve">Tableau de bord et alertes</t>
  </si>
  <si>
    <t xml:space="preserve">Comparer « Budget consommé », « Solde de caisse consolidé » et « Avances à justifier » avec les totaux des services A et B.</t>
  </si>
  <si>
    <t xml:space="preserve">Chiffres identiques (seules les écritures validées sont prises en compte).</t>
  </si>
  <si>
    <t xml:space="preserve">Lire les alertes prioritaires et cliquer sur chaque lien « Voir ».</t>
  </si>
  <si>
    <t xml:space="preserve">Chaque alerte mène à l’écran concerné (transmission en retard, anomalies, parc, stocks).</t>
  </si>
  <si>
    <t xml:space="preserve">« Exporter (Excel) » et « PDF ».</t>
  </si>
  <si>
    <t xml:space="preserve">Fichiers conformes à l’écran.</t>
  </si>
  <si>
    <t xml:space="preserve">UAT-42</t>
  </si>
  <si>
    <t xml:space="preserve">Consolidation, nomenclature, risques et comparaison</t>
  </si>
  <si>
    <t xml:space="preserve">Consolidation : parcourir les vues par service, catégorie, rubrique, mois et ligne de la nomenclature.</t>
  </si>
  <si>
    <t xml:space="preserve">Les totaux sont identiques d’une vue à l’autre ; la ligne 6.1.1 regroupe R01.</t>
  </si>
  <si>
    <t xml:space="preserve">Exporter en Excel et en PDF.</t>
  </si>
  <si>
    <t xml:space="preserve">Exports conformes.</t>
  </si>
  <si>
    <t xml:space="preserve">Risques : vérifier le score du service A (rejet, anomalies, arrêté) et le détail des facteurs.</t>
  </si>
  <si>
    <t xml:space="preserve">Le score reflète les événements de la recette ; la méthode de calcul est affichée.</t>
  </si>
  <si>
    <t xml:space="preserve">Comparaison des services : contrôler la dépense par agent avec les effectifs saisis en UAT-03.</t>
  </si>
  <si>
    <t xml:space="preserve">Calcul exact.</t>
  </si>
  <si>
    <t xml:space="preserve">UAT-43</t>
  </si>
  <si>
    <t xml:space="preserve">Rapports officiels et vérification d’authenticité</t>
  </si>
  <si>
    <t xml:space="preserve">Rapports : émettre la situation mensuelle d’exécution du mois, l’état consolidé et l’état des avances non justifiées.</t>
  </si>
  <si>
    <t xml:space="preserve">Chaque document reçoit une référence IGE-… ; il figure au registre « Documents émis ».</t>
  </si>
  <si>
    <t xml:space="preserve">Ouvrir le PDF de la situation mensuelle ; comparer aux chiffres de la consolidation.</t>
  </si>
  <si>
    <t xml:space="preserve">Chiffres identiques ; armoiries, référence, signataire et code QR présents.</t>
  </si>
  <si>
    <t xml:space="preserve">Sans être connecté, scanner le code QR avec un téléphone.</t>
  </si>
  <si>
    <t xml:space="preserve">Page « Document authentique » : type, date, émetteur ; aucun montant affiché.</t>
  </si>
  <si>
    <t xml:space="preserve">Saisir une référence inventée dans « Vérifier un document ».</t>
  </si>
  <si>
    <t xml:space="preserve">Document signalé comme inconnu.</t>
  </si>
  <si>
    <t xml:space="preserve">Revenir au registre.</t>
  </si>
  <si>
    <t xml:space="preserve">Le nombre de vérifications QR du document a augmenté ; le registre n’est pas modifiable.</t>
  </si>
  <si>
    <t xml:space="preserve">UAT-44</t>
  </si>
  <si>
    <t xml:space="preserve">Rapport hebdomadaire et notifications</t>
  </si>
  <si>
    <t xml:space="preserve">Notifications : activer le rapport, choisir jour et heure, ajouter une adresse en copie ; « Enregistrer ».</t>
  </si>
  <si>
    <t xml:space="preserve">L’aperçu du rapport affiche écritures à vérifier, alertes et fonds à décaisser.</t>
  </si>
  <si>
    <t xml:space="preserve">« M’envoyer le rapport maintenant ».</t>
  </si>
  <si>
    <t xml:space="preserve">L’e-mail reçu correspond à l’aperçu ; les liens ouvrent les bons écrans.</t>
  </si>
  <si>
    <t xml:space="preserve">Indiquer une adresse en copie invalide.</t>
  </si>
  <si>
    <t xml:space="preserve">UAT-45</t>
  </si>
  <si>
    <t xml:space="preserve">Synthèse et consultation par la Direction</t>
  </si>
  <si>
    <t xml:space="preserve">Ouvrir la Synthèse sur téléphone puis sur ordinateur.</t>
  </si>
  <si>
    <t xml:space="preserve">Budget consommé, caisse consolidée, avances à justifier, points d’attention et derniers rapports, lisibles sur les deux.</t>
  </si>
  <si>
    <t xml:space="preserve">Ouvrir Consolidation, Rapports, Risques et Parc automobile.</t>
  </si>
  <si>
    <t xml:space="preserve">Données identiques à celles d’A&amp;F ; aucune action de gestion proposée.</t>
  </si>
  <si>
    <t xml:space="preserve">Ouvrir un rapport officiel émis en UAT-43.</t>
  </si>
  <si>
    <t xml:space="preserve">Le PDF s’ouvre.</t>
  </si>
  <si>
    <t xml:space="preserve">UAT-46</t>
  </si>
  <si>
    <t xml:space="preserve">Fonctions du site</t>
  </si>
  <si>
    <t xml:space="preserve">Fonctions du site : décocher « Parc automobile » ; « Enregistrer ».</t>
  </si>
  <si>
    <t xml:space="preserve">Le menu Parc automobile disparaît pour A&amp;F et la Direction, Véhicules pour les services ; les alertes du parc disparaissent du tableau de bord.</t>
  </si>
  <si>
    <t xml:space="preserve">Saisir directement l’adresse de la page Véhicules.</t>
  </si>
  <si>
    <t xml:space="preserve">Message indiquant que la fonction est désactivée.</t>
  </si>
  <si>
    <t xml:space="preserve">Recocher le module et enregistrer.</t>
  </si>
  <si>
    <t xml:space="preserve">Menus et données du parc réapparaissent intacts.</t>
  </si>
  <si>
    <t xml:space="preserve">Les deux changements sont tracés.</t>
  </si>
  <si>
    <t xml:space="preserve">UAT-47</t>
  </si>
  <si>
    <t xml:space="preserve">Journal d’audit et intégrité</t>
  </si>
  <si>
    <t xml:space="preserve">Filtrer le journal sur la période de recette, l’utilisateur AGA, puis l’action « Saisie d’écriture ».</t>
  </si>
  <si>
    <t xml:space="preserve">Toutes les saisies de AGA apparaissent avec date, heure, valeurs et adresse IP.</t>
  </si>
  <si>
    <t xml:space="preserve">Contrôler la présence des actions sensibles : avances, validations, rejets, contrepassations, changements de règles, émissions de documents.</t>
  </si>
  <si>
    <t xml:space="preserve">Chaque action est présente avec l’avant/après.</t>
  </si>
  <si>
    <t xml:space="preserve">Cliquer sur « Vérifier l’intégrité ».</t>
  </si>
  <si>
    <t xml:space="preserve">La chaîne d’empreintes est déclarée intègre.</t>
  </si>
  <si>
    <t xml:space="preserve">« Exporter (Excel) ».</t>
  </si>
  <si>
    <t xml:space="preserve">Export complet et lisible.</t>
  </si>
  <si>
    <t xml:space="preserve">UAT-48</t>
  </si>
  <si>
    <t xml:space="preserve">Revue et désactivation des comptes</t>
  </si>
  <si>
    <t xml:space="preserve">Désactiver le compte AGB.</t>
  </si>
  <si>
    <t xml:space="preserve">Message « Compte désactivé » ; ses sessions ouvertes sont fermées.</t>
  </si>
  <si>
    <t xml:space="preserve">Rafraîchir la page, puis tenter de se reconnecter.</t>
  </si>
  <si>
    <t xml:space="preserve">Session fermée ; connexion refusée.</t>
  </si>
  <si>
    <t xml:space="preserve">Réactiver AGB ; « Réinitialiser » son mot de passe.</t>
  </si>
  <si>
    <t xml:space="preserve">Un nouveau mot de passe provisoire est affiché ; AGB doit le changer à la connexion.</t>
  </si>
  <si>
    <t xml:space="preserve">Cliquer sur « Confirmer la revue ».</t>
  </si>
  <si>
    <t xml:space="preserve">Revue enregistrée ; prochaine revue dans trois mois.</t>
  </si>
  <si>
    <t xml:space="preserve">UAT-49</t>
  </si>
  <si>
    <t xml:space="preserve">Déploiement et reprise des fichiers Excel</t>
  </si>
  <si>
    <t xml:space="preserve">Déploiement : « Charger le classeur central ».</t>
  </si>
  <si>
    <t xml:space="preserve">« Classeur central chargé ».</t>
  </si>
  <si>
    <t xml:space="preserve">Charger le classeur du service de test ; « Analyser le fichier ».</t>
  </si>
  <si>
    <t xml:space="preserve">Les erreurs et avertissements sont listés avec leurs lignes ; rien n’est encore importé.</t>
  </si>
  <si>
    <t xml:space="preserve">Corriger le fichier si nécessaire, analyser de nouveau ; « Importer dans l’application ».</t>
  </si>
  <si>
    <t xml:space="preserve">Solde initial, budget et écritures repris ; le solde de caisse après reprise est égal à celui du classeur.</t>
  </si>
  <si>
    <t xml:space="preserve">Contrôler le livre de caisse du service.</t>
  </si>
  <si>
    <t xml:space="preserve">Les écritures reprises sont identifiées comme telles.</t>
  </si>
  <si>
    <t xml:space="preserve">UAT-50</t>
  </si>
  <si>
    <t xml:space="preserve">Compatibilité des navigateurs et appareils</t>
  </si>
  <si>
    <t xml:space="preserve">Tous</t>
  </si>
  <si>
    <t xml:space="preserve">Rejouer UAT-15 (saisie) et UAT-25 (transmission) sur Chrome, Edge, Firefox et Safari (iPhone).</t>
  </si>
  <si>
    <t xml:space="preserve">Même résultat sur chaque navigateur ; aucune zone tronquée.</t>
  </si>
  <si>
    <t xml:space="preserve">Rejouer l’accueil et la saisie sur un téléphone d’entrée de gamme avec une connexion lente.</t>
  </si>
  <si>
    <t xml:space="preserve">Pages utilisables ; temps d’affichage acceptable (à chronométrer et noter).</t>
  </si>
  <si>
    <t xml:space="preserve">Imprimer un rapport officiel et un procès-verbal.</t>
  </si>
  <si>
    <t xml:space="preserve">Impression lisible sur A4, code QR lisible.</t>
  </si>
  <si>
    <t xml:space="preserve">UAT-51</t>
  </si>
  <si>
    <t xml:space="preserve">Préparation de l’exercice suivant et conditions de clôture</t>
  </si>
  <si>
    <t xml:space="preserve">Exercice et règles : lire la liste « Clôture de l’exercice ».</t>
  </si>
  <si>
    <t xml:space="preserve">Les services A et B apparaissent tant qu’il reste des écritures non transmises, à vérifier ou des engagements non soldés.</t>
  </si>
  <si>
    <t xml:space="preserve">« Préparer l’exercice » suivant.</t>
  </si>
  <si>
    <t xml:space="preserve">L’exercice suivant est « préparé » : il reçoit des budgets mais aucune écriture.</t>
  </si>
  <si>
    <t xml:space="preserve">Saisir le budget de l’exercice suivant.</t>
  </si>
  <si>
    <t xml:space="preserve">Budget enregistré à l’avance.</t>
  </si>
  <si>
    <t xml:space="preserve">Sur le site de recette seulement : régulariser les services, clôturer l’exercice.</t>
  </si>
  <si>
    <t xml:space="preserve">Le solde de caisse de chaque service devient son solde initial de l’exercice suivant ; plus aucune écriture n’est possible sur l’exercice clos.</t>
  </si>
  <si>
    <t xml:space="preserve">Registre des anomalies</t>
  </si>
  <si>
    <t xml:space="preserve">Une ligne par anomalie · numéroter ANO-001, ANO-002…</t>
  </si>
  <si>
    <t xml:space="preserve">Réf.</t>
  </si>
  <si>
    <t xml:space="preserve">Résultat obtenu</t>
  </si>
  <si>
    <t xml:space="preserve">Responsable</t>
  </si>
  <si>
    <t xml:space="preserve">Version corrective</t>
  </si>
  <si>
    <t xml:space="preserve">Date du retest</t>
  </si>
  <si>
    <t xml:space="preserve">Commentaire</t>
  </si>
  <si>
    <t xml:space="preserve">Synthèse par scénario</t>
  </si>
  <si>
    <t xml:space="preserve">Calculé automatiquement à partir de l’onglet Exécution</t>
  </si>
  <si>
    <t xml:space="preserve">Statut du scénario</t>
  </si>
  <si>
    <t xml:space="preserve">Anomalies ouvertes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</si>
</sst>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%"/>
    <numFmt numFmtId="167" formatCode="General"/>
    <numFmt numFmtId="168" formatCode="0%"/>
    <numFmt numFmtId="169" formatCode="dd/mm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418A"/>
      <name val="Arial"/>
      <family val="0"/>
      <charset val="1"/>
    </font>
    <font>
      <sz val="10"/>
      <color rgb="FF5D6670"/>
      <name val="Arial"/>
      <family val="0"/>
      <charset val="1"/>
    </font>
    <font>
      <b val="true"/>
      <sz val="11"/>
      <color rgb="FF17418A"/>
      <name val="Arial"/>
      <family val="0"/>
      <charset val="1"/>
    </font>
    <font>
      <b val="true"/>
      <sz val="9"/>
      <color rgb="FF323230"/>
      <name val="Arial"/>
      <family val="0"/>
      <charset val="1"/>
    </font>
    <font>
      <sz val="9"/>
      <color rgb="FF323230"/>
      <name val="Arial"/>
      <family val="0"/>
      <charset val="1"/>
    </font>
    <font>
      <sz val="9"/>
      <name val="Arial"/>
      <family val="0"/>
      <charset val="1"/>
    </font>
    <font>
      <sz val="9"/>
      <color rgb="FF5D667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C4"/>
        <bgColor rgb="FFFDEEE2"/>
      </patternFill>
    </fill>
    <fill>
      <patternFill patternType="solid">
        <fgColor rgb="FF1741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Arial"/>
        <charset val="1"/>
        <family val="0"/>
        <b val="1"/>
        <color rgb="FF3D7A17"/>
      </font>
      <fill>
        <patternFill>
          <bgColor rgb="FFECF6E6"/>
        </patternFill>
      </fill>
    </dxf>
    <dxf>
      <font>
        <name val="Arial"/>
        <charset val="1"/>
        <family val="0"/>
        <b val="1"/>
        <color rgb="FFB4241F"/>
      </font>
      <fill>
        <patternFill>
          <bgColor rgb="FFFBE7E6"/>
        </patternFill>
      </fill>
    </dxf>
    <dxf>
      <fill>
        <patternFill patternType="solid">
          <fgColor rgb="FF17418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2323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ont>
        <name val="Arial"/>
        <charset val="1"/>
        <family val="0"/>
        <b val="1"/>
        <color rgb="FFB14D08"/>
      </font>
      <fill>
        <patternFill>
          <bgColor rgb="FFFDEEE2"/>
        </patternFill>
      </fill>
    </dxf>
    <dxf>
      <font>
        <name val="Arial"/>
        <charset val="1"/>
        <family val="0"/>
        <b val="1"/>
        <color rgb="FF006D94"/>
      </font>
      <fill>
        <patternFill>
          <bgColor rgb="FFE2F2F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D7A17"/>
      <rgbColor rgb="FF000080"/>
      <rgbColor rgb="FF808000"/>
      <rgbColor rgb="FF800080"/>
      <rgbColor rgb="FF006D94"/>
      <rgbColor rgb="FFC0C0C0"/>
      <rgbColor rgb="FF808080"/>
      <rgbColor rgb="FF9999FF"/>
      <rgbColor rgb="FFB14D08"/>
      <rgbColor rgb="FFFFF9C4"/>
      <rgbColor rgb="FFE2F2F9"/>
      <rgbColor rgb="FF660066"/>
      <rgbColor rgb="FFFF8080"/>
      <rgbColor rgb="FF0066CC"/>
      <rgbColor rgb="FFE1E5EA"/>
      <rgbColor rgb="FF000080"/>
      <rgbColor rgb="FFFF00FF"/>
      <rgbColor rgb="FFFFFF00"/>
      <rgbColor rgb="FF00FFFF"/>
      <rgbColor rgb="FF800080"/>
      <rgbColor rgb="FF800000"/>
      <rgbColor rgb="FF0095C9"/>
      <rgbColor rgb="FF0000FF"/>
      <rgbColor rgb="FF00CCFF"/>
      <rgbColor rgb="FFECF6E6"/>
      <rgbColor rgb="FFFBE7E6"/>
      <rgbColor rgb="FFFDEEE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670"/>
      <rgbColor rgb="FF969696"/>
      <rgbColor rgb="FF003366"/>
      <rgbColor rgb="FF339966"/>
      <rgbColor rgb="FF003300"/>
      <rgbColor rgb="FF333300"/>
      <rgbColor rgb="FFB4241F"/>
      <rgbColor rgb="FF993366"/>
      <rgbColor rgb="FF17418A"/>
      <rgbColor rgb="FF3232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5C9"/>
    <pageSetUpPr fitToPage="true"/>
  </sheetPr>
  <dimension ref="A1:B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3" t="s">
        <v>13</v>
      </c>
    </row>
    <row r="11" customFormat="false" ht="15" hidden="false" customHeight="false" outlineLevel="0" collapsed="false">
      <c r="A11" s="4" t="s">
        <v>14</v>
      </c>
      <c r="B11" s="5" t="s">
        <v>15</v>
      </c>
    </row>
    <row r="12" customFormat="false" ht="15" hidden="false" customHeight="false" outlineLevel="0" collapsed="false">
      <c r="A12" s="4" t="s">
        <v>16</v>
      </c>
      <c r="B12" s="5" t="s">
        <v>17</v>
      </c>
    </row>
    <row r="13" customFormat="false" ht="15" hidden="false" customHeight="false" outlineLevel="0" collapsed="false">
      <c r="A13" s="4" t="s">
        <v>18</v>
      </c>
      <c r="B13" s="5" t="s">
        <v>19</v>
      </c>
    </row>
    <row r="14" customFormat="false" ht="15" hidden="false" customHeight="false" outlineLevel="0" collapsed="false">
      <c r="A14" s="4" t="s">
        <v>20</v>
      </c>
      <c r="B14" s="5" t="s">
        <v>21</v>
      </c>
    </row>
    <row r="15" customFormat="false" ht="15" hidden="false" customHeight="false" outlineLevel="0" collapsed="false">
      <c r="A15" s="3" t="s">
        <v>22</v>
      </c>
    </row>
    <row r="16" customFormat="false" ht="15" hidden="false" customHeight="false" outlineLevel="0" collapsed="false">
      <c r="A16" s="4" t="s">
        <v>23</v>
      </c>
      <c r="B16" s="5" t="s">
        <v>24</v>
      </c>
    </row>
    <row r="17" customFormat="false" ht="15" hidden="false" customHeight="false" outlineLevel="0" collapsed="false">
      <c r="A17" s="4" t="s">
        <v>25</v>
      </c>
      <c r="B17" s="5" t="s">
        <v>26</v>
      </c>
    </row>
    <row r="18" customFormat="false" ht="15" hidden="false" customHeight="false" outlineLevel="0" collapsed="false">
      <c r="A18" s="4" t="s">
        <v>27</v>
      </c>
      <c r="B18" s="5" t="s">
        <v>28</v>
      </c>
    </row>
    <row r="19" customFormat="false" ht="15" hidden="false" customHeight="false" outlineLevel="0" collapsed="false">
      <c r="A19" s="4" t="s">
        <v>29</v>
      </c>
      <c r="B19" s="5" t="s">
        <v>30</v>
      </c>
    </row>
    <row r="20" customFormat="false" ht="15" hidden="false" customHeight="false" outlineLevel="0" collapsed="false">
      <c r="A20" s="3" t="s">
        <v>31</v>
      </c>
    </row>
    <row r="21" customFormat="false" ht="15" hidden="false" customHeight="false" outlineLevel="0" collapsed="false">
      <c r="A21" s="4" t="s">
        <v>32</v>
      </c>
      <c r="B21" s="5" t="s">
        <v>33</v>
      </c>
    </row>
    <row r="22" customFormat="false" ht="15" hidden="false" customHeight="false" outlineLevel="0" collapsed="false">
      <c r="A22" s="4" t="s">
        <v>34</v>
      </c>
      <c r="B22" s="5" t="s">
        <v>35</v>
      </c>
    </row>
    <row r="23" customFormat="false" ht="15" hidden="false" customHeight="false" outlineLevel="0" collapsed="false">
      <c r="A23" s="4" t="s">
        <v>36</v>
      </c>
      <c r="B23" s="5" t="s">
        <v>37</v>
      </c>
    </row>
    <row r="24" customFormat="false" ht="15" hidden="false" customHeight="false" outlineLevel="0" collapsed="false">
      <c r="A24" s="4" t="s">
        <v>38</v>
      </c>
      <c r="B24" s="5" t="s">
        <v>39</v>
      </c>
    </row>
    <row r="25" customFormat="false" ht="15" hidden="false" customHeight="false" outlineLevel="0" collapsed="false">
      <c r="A25" s="3" t="s">
        <v>40</v>
      </c>
    </row>
    <row r="26" customFormat="false" ht="15" hidden="false" customHeight="false" outlineLevel="0" collapsed="false">
      <c r="A26" s="4" t="s">
        <v>41</v>
      </c>
      <c r="B26" s="5" t="s">
        <v>42</v>
      </c>
    </row>
    <row r="27" customFormat="false" ht="15" hidden="false" customHeight="false" outlineLevel="0" collapsed="false">
      <c r="A27" s="4" t="s">
        <v>43</v>
      </c>
      <c r="B27" s="5" t="s">
        <v>44</v>
      </c>
    </row>
    <row r="29" customFormat="false" ht="15" hidden="false" customHeight="false" outlineLevel="0" collapsed="false">
      <c r="A29" s="6" t="s">
        <v>45</v>
      </c>
      <c r="B29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5C9"/>
    <pageSetUpPr fitToPage="true"/>
  </sheetPr>
  <dimension ref="A1: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2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15" hidden="false" customHeight="false" outlineLevel="0" collapsed="false">
      <c r="A4" s="3" t="s">
        <v>48</v>
      </c>
    </row>
    <row r="5" customFormat="false" ht="15" hidden="false" customHeight="false" outlineLevel="0" collapsed="false">
      <c r="A5" s="4" t="s">
        <v>49</v>
      </c>
      <c r="B5" s="8" t="n">
        <f aca="false">COUNTA(Exécution!$A$5:$A$239)</f>
        <v>235</v>
      </c>
    </row>
    <row r="6" customFormat="false" ht="15" hidden="false" customHeight="false" outlineLevel="0" collapsed="false">
      <c r="A6" s="4" t="s">
        <v>50</v>
      </c>
      <c r="B6" s="8" t="n">
        <f aca="false">COUNTA(Exécution!$I$5:$I$239)-COUNTIF(Exécution!$I$5:$I$239,"Non testé")</f>
        <v>0</v>
      </c>
    </row>
    <row r="7" customFormat="false" ht="15" hidden="false" customHeight="false" outlineLevel="0" collapsed="false">
      <c r="A7" s="4" t="s">
        <v>51</v>
      </c>
      <c r="B7" s="8" t="n">
        <f aca="false">COUNTIF(Exécution!$I$5:$I$239,"OK")</f>
        <v>0</v>
      </c>
    </row>
    <row r="8" customFormat="false" ht="15" hidden="false" customHeight="false" outlineLevel="0" collapsed="false">
      <c r="A8" s="4" t="s">
        <v>52</v>
      </c>
      <c r="B8" s="8" t="n">
        <f aca="false">COUNTIF(Exécution!$I$5:$I$239,"KO")</f>
        <v>0</v>
      </c>
    </row>
    <row r="9" customFormat="false" ht="15" hidden="false" customHeight="false" outlineLevel="0" collapsed="false">
      <c r="A9" s="4" t="s">
        <v>53</v>
      </c>
      <c r="B9" s="8" t="n">
        <f aca="false">COUNTIF(Exécution!$I$5:$I$239,"Bloqué")</f>
        <v>0</v>
      </c>
    </row>
    <row r="10" customFormat="false" ht="15" hidden="false" customHeight="false" outlineLevel="0" collapsed="false">
      <c r="A10" s="4" t="s">
        <v>54</v>
      </c>
      <c r="B10" s="9" t="n">
        <f aca="false">IF(B5=0,0,B6/B5)</f>
        <v>0</v>
      </c>
    </row>
    <row r="11" customFormat="false" ht="15" hidden="false" customHeight="false" outlineLevel="0" collapsed="false">
      <c r="A11" s="4" t="s">
        <v>55</v>
      </c>
      <c r="B11" s="9" t="n">
        <f aca="false">IF(B5=0,0,B7/B5)</f>
        <v>0</v>
      </c>
    </row>
    <row r="12" customFormat="false" ht="15" hidden="false" customHeight="false" outlineLevel="0" collapsed="false">
      <c r="A12" s="4" t="s">
        <v>56</v>
      </c>
      <c r="B12" s="8" t="n">
        <f aca="false">COUNTIF('Synthèse scénarios'!$J$5:$J$55,"OK")</f>
        <v>0</v>
      </c>
      <c r="C12" s="10" t="n">
        <f aca="false">COUNTA('Synthèse scénarios'!$A$5:$A$55)</f>
        <v>51</v>
      </c>
      <c r="D12" s="11" t="s">
        <v>57</v>
      </c>
    </row>
    <row r="13" customFormat="false" ht="15" hidden="false" customHeight="false" outlineLevel="0" collapsed="false">
      <c r="A13" s="4" t="s">
        <v>58</v>
      </c>
      <c r="B13" s="8" t="n">
        <f aca="false">COUNTIFS('Synthèse scénarios'!$D$5:$D$55,"Critique",'Synthèse scénarios'!$J$5:$J$55,"OK")</f>
        <v>0</v>
      </c>
    </row>
    <row r="14" customFormat="false" ht="15" hidden="false" customHeight="false" outlineLevel="0" collapsed="false">
      <c r="A14" s="4" t="s">
        <v>59</v>
      </c>
      <c r="B14" s="8" t="n">
        <f aca="false">COUNTIF('Synthèse scénarios'!$D$5:$D$55,"Critique")</f>
        <v>16</v>
      </c>
    </row>
    <row r="16" customFormat="false" ht="15" hidden="false" customHeight="false" outlineLevel="0" collapsed="false">
      <c r="A16" s="3" t="s">
        <v>60</v>
      </c>
    </row>
    <row r="17" customFormat="false" ht="15" hidden="false" customHeight="false" outlineLevel="0" collapsed="false">
      <c r="A17" s="12" t="s">
        <v>61</v>
      </c>
      <c r="B17" s="13" t="s">
        <v>62</v>
      </c>
      <c r="C17" s="13" t="s">
        <v>16</v>
      </c>
      <c r="D17" s="13" t="s">
        <v>18</v>
      </c>
      <c r="E17" s="13" t="s">
        <v>20</v>
      </c>
      <c r="F17" s="13" t="s">
        <v>14</v>
      </c>
      <c r="G17" s="13" t="s">
        <v>63</v>
      </c>
    </row>
    <row r="18" customFormat="false" ht="15" hidden="false" customHeight="false" outlineLevel="0" collapsed="false">
      <c r="A18" s="5" t="s">
        <v>64</v>
      </c>
      <c r="B18" s="10" t="n">
        <f aca="false">COUNTIF(Exécution!$B$5:$B$239,A18)</f>
        <v>22</v>
      </c>
      <c r="C18" s="10" t="n">
        <f aca="false">COUNTIFS(Exécution!$B$5:$B$239,$A18,Exécution!$I$5:$I$239,"OK")</f>
        <v>0</v>
      </c>
      <c r="D18" s="10" t="n">
        <f aca="false">COUNTIFS(Exécution!$B$5:$B$239,$A18,Exécution!$I$5:$I$239,"KO")</f>
        <v>0</v>
      </c>
      <c r="E18" s="10" t="n">
        <f aca="false">COUNTIFS(Exécution!$B$5:$B$239,$A18,Exécution!$I$5:$I$239,"Bloqué")</f>
        <v>0</v>
      </c>
      <c r="F18" s="10" t="n">
        <f aca="false">COUNTIFS(Exécution!$B$5:$B$239,$A18,Exécution!$I$5:$I$239,"Non testé")</f>
        <v>22</v>
      </c>
      <c r="G18" s="14" t="n">
        <f aca="false">IF(B18=0,0,C18/B18)</f>
        <v>0</v>
      </c>
    </row>
    <row r="19" customFormat="false" ht="15" hidden="false" customHeight="false" outlineLevel="0" collapsed="false">
      <c r="A19" s="5" t="s">
        <v>65</v>
      </c>
      <c r="B19" s="10" t="n">
        <f aca="false">COUNTIF(Exécution!$B$5:$B$239,A19)</f>
        <v>22</v>
      </c>
      <c r="C19" s="10" t="n">
        <f aca="false">COUNTIFS(Exécution!$B$5:$B$239,$A19,Exécution!$I$5:$I$239,"OK")</f>
        <v>0</v>
      </c>
      <c r="D19" s="10" t="n">
        <f aca="false">COUNTIFS(Exécution!$B$5:$B$239,$A19,Exécution!$I$5:$I$239,"KO")</f>
        <v>0</v>
      </c>
      <c r="E19" s="10" t="n">
        <f aca="false">COUNTIFS(Exécution!$B$5:$B$239,$A19,Exécution!$I$5:$I$239,"Bloqué")</f>
        <v>0</v>
      </c>
      <c r="F19" s="10" t="n">
        <f aca="false">COUNTIFS(Exécution!$B$5:$B$239,$A19,Exécution!$I$5:$I$239,"Non testé")</f>
        <v>22</v>
      </c>
      <c r="G19" s="14" t="n">
        <f aca="false">IF(B19=0,0,C19/B19)</f>
        <v>0</v>
      </c>
    </row>
    <row r="20" customFormat="false" ht="15" hidden="false" customHeight="false" outlineLevel="0" collapsed="false">
      <c r="A20" s="5" t="s">
        <v>66</v>
      </c>
      <c r="B20" s="10" t="n">
        <f aca="false">COUNTIF(Exécution!$B$5:$B$239,A20)</f>
        <v>23</v>
      </c>
      <c r="C20" s="10" t="n">
        <f aca="false">COUNTIFS(Exécution!$B$5:$B$239,$A20,Exécution!$I$5:$I$239,"OK")</f>
        <v>0</v>
      </c>
      <c r="D20" s="10" t="n">
        <f aca="false">COUNTIFS(Exécution!$B$5:$B$239,$A20,Exécution!$I$5:$I$239,"KO")</f>
        <v>0</v>
      </c>
      <c r="E20" s="10" t="n">
        <f aca="false">COUNTIFS(Exécution!$B$5:$B$239,$A20,Exécution!$I$5:$I$239,"Bloqué")</f>
        <v>0</v>
      </c>
      <c r="F20" s="10" t="n">
        <f aca="false">COUNTIFS(Exécution!$B$5:$B$239,$A20,Exécution!$I$5:$I$239,"Non testé")</f>
        <v>23</v>
      </c>
      <c r="G20" s="14" t="n">
        <f aca="false">IF(B20=0,0,C20/B20)</f>
        <v>0</v>
      </c>
    </row>
    <row r="21" customFormat="false" ht="15" hidden="false" customHeight="false" outlineLevel="0" collapsed="false">
      <c r="A21" s="5" t="s">
        <v>67</v>
      </c>
      <c r="B21" s="10" t="n">
        <f aca="false">COUNTIF(Exécution!$B$5:$B$239,A21)</f>
        <v>45</v>
      </c>
      <c r="C21" s="10" t="n">
        <f aca="false">COUNTIFS(Exécution!$B$5:$B$239,$A21,Exécution!$I$5:$I$239,"OK")</f>
        <v>0</v>
      </c>
      <c r="D21" s="10" t="n">
        <f aca="false">COUNTIFS(Exécution!$B$5:$B$239,$A21,Exécution!$I$5:$I$239,"KO")</f>
        <v>0</v>
      </c>
      <c r="E21" s="10" t="n">
        <f aca="false">COUNTIFS(Exécution!$B$5:$B$239,$A21,Exécution!$I$5:$I$239,"Bloqué")</f>
        <v>0</v>
      </c>
      <c r="F21" s="10" t="n">
        <f aca="false">COUNTIFS(Exécution!$B$5:$B$239,$A21,Exécution!$I$5:$I$239,"Non testé")</f>
        <v>45</v>
      </c>
      <c r="G21" s="14" t="n">
        <f aca="false">IF(B21=0,0,C21/B21)</f>
        <v>0</v>
      </c>
    </row>
    <row r="22" customFormat="false" ht="15" hidden="false" customHeight="false" outlineLevel="0" collapsed="false">
      <c r="A22" s="5" t="s">
        <v>68</v>
      </c>
      <c r="B22" s="10" t="n">
        <f aca="false">COUNTIF(Exécution!$B$5:$B$239,A22)</f>
        <v>20</v>
      </c>
      <c r="C22" s="10" t="n">
        <f aca="false">COUNTIFS(Exécution!$B$5:$B$239,$A22,Exécution!$I$5:$I$239,"OK")</f>
        <v>0</v>
      </c>
      <c r="D22" s="10" t="n">
        <f aca="false">COUNTIFS(Exécution!$B$5:$B$239,$A22,Exécution!$I$5:$I$239,"KO")</f>
        <v>0</v>
      </c>
      <c r="E22" s="10" t="n">
        <f aca="false">COUNTIFS(Exécution!$B$5:$B$239,$A22,Exécution!$I$5:$I$239,"Bloqué")</f>
        <v>0</v>
      </c>
      <c r="F22" s="10" t="n">
        <f aca="false">COUNTIFS(Exécution!$B$5:$B$239,$A22,Exécution!$I$5:$I$239,"Non testé")</f>
        <v>20</v>
      </c>
      <c r="G22" s="14" t="n">
        <f aca="false">IF(B22=0,0,C22/B22)</f>
        <v>0</v>
      </c>
    </row>
    <row r="23" customFormat="false" ht="15" hidden="false" customHeight="false" outlineLevel="0" collapsed="false">
      <c r="A23" s="5" t="s">
        <v>69</v>
      </c>
      <c r="B23" s="10" t="n">
        <f aca="false">COUNTIF(Exécution!$B$5:$B$239,A23)</f>
        <v>7</v>
      </c>
      <c r="C23" s="10" t="n">
        <f aca="false">COUNTIFS(Exécution!$B$5:$B$239,$A23,Exécution!$I$5:$I$239,"OK")</f>
        <v>0</v>
      </c>
      <c r="D23" s="10" t="n">
        <f aca="false">COUNTIFS(Exécution!$B$5:$B$239,$A23,Exécution!$I$5:$I$239,"KO")</f>
        <v>0</v>
      </c>
      <c r="E23" s="10" t="n">
        <f aca="false">COUNTIFS(Exécution!$B$5:$B$239,$A23,Exécution!$I$5:$I$239,"Bloqué")</f>
        <v>0</v>
      </c>
      <c r="F23" s="10" t="n">
        <f aca="false">COUNTIFS(Exécution!$B$5:$B$239,$A23,Exécution!$I$5:$I$239,"Non testé")</f>
        <v>7</v>
      </c>
      <c r="G23" s="14" t="n">
        <f aca="false">IF(B23=0,0,C23/B23)</f>
        <v>0</v>
      </c>
    </row>
    <row r="24" customFormat="false" ht="15" hidden="false" customHeight="false" outlineLevel="0" collapsed="false">
      <c r="A24" s="5" t="s">
        <v>70</v>
      </c>
      <c r="B24" s="10" t="n">
        <f aca="false">COUNTIF(Exécution!$B$5:$B$239,A24)</f>
        <v>17</v>
      </c>
      <c r="C24" s="10" t="n">
        <f aca="false">COUNTIFS(Exécution!$B$5:$B$239,$A24,Exécution!$I$5:$I$239,"OK")</f>
        <v>0</v>
      </c>
      <c r="D24" s="10" t="n">
        <f aca="false">COUNTIFS(Exécution!$B$5:$B$239,$A24,Exécution!$I$5:$I$239,"KO")</f>
        <v>0</v>
      </c>
      <c r="E24" s="10" t="n">
        <f aca="false">COUNTIFS(Exécution!$B$5:$B$239,$A24,Exécution!$I$5:$I$239,"Bloqué")</f>
        <v>0</v>
      </c>
      <c r="F24" s="10" t="n">
        <f aca="false">COUNTIFS(Exécution!$B$5:$B$239,$A24,Exécution!$I$5:$I$239,"Non testé")</f>
        <v>17</v>
      </c>
      <c r="G24" s="14" t="n">
        <f aca="false">IF(B24=0,0,C24/B24)</f>
        <v>0</v>
      </c>
    </row>
    <row r="25" customFormat="false" ht="15" hidden="false" customHeight="false" outlineLevel="0" collapsed="false">
      <c r="A25" s="5" t="s">
        <v>71</v>
      </c>
      <c r="B25" s="10" t="n">
        <f aca="false">COUNTIF(Exécution!$B$5:$B$239,A25)</f>
        <v>8</v>
      </c>
      <c r="C25" s="10" t="n">
        <f aca="false">COUNTIFS(Exécution!$B$5:$B$239,$A25,Exécution!$I$5:$I$239,"OK")</f>
        <v>0</v>
      </c>
      <c r="D25" s="10" t="n">
        <f aca="false">COUNTIFS(Exécution!$B$5:$B$239,$A25,Exécution!$I$5:$I$239,"KO")</f>
        <v>0</v>
      </c>
      <c r="E25" s="10" t="n">
        <f aca="false">COUNTIFS(Exécution!$B$5:$B$239,$A25,Exécution!$I$5:$I$239,"Bloqué")</f>
        <v>0</v>
      </c>
      <c r="F25" s="10" t="n">
        <f aca="false">COUNTIFS(Exécution!$B$5:$B$239,$A25,Exécution!$I$5:$I$239,"Non testé")</f>
        <v>8</v>
      </c>
      <c r="G25" s="14" t="n">
        <f aca="false">IF(B25=0,0,C25/B25)</f>
        <v>0</v>
      </c>
    </row>
    <row r="26" customFormat="false" ht="15" hidden="false" customHeight="false" outlineLevel="0" collapsed="false">
      <c r="A26" s="5" t="s">
        <v>72</v>
      </c>
      <c r="B26" s="10" t="n">
        <f aca="false">COUNTIF(Exécution!$B$5:$B$239,A26)</f>
        <v>24</v>
      </c>
      <c r="C26" s="10" t="n">
        <f aca="false">COUNTIFS(Exécution!$B$5:$B$239,$A26,Exécution!$I$5:$I$239,"OK")</f>
        <v>0</v>
      </c>
      <c r="D26" s="10" t="n">
        <f aca="false">COUNTIFS(Exécution!$B$5:$B$239,$A26,Exécution!$I$5:$I$239,"KO")</f>
        <v>0</v>
      </c>
      <c r="E26" s="10" t="n">
        <f aca="false">COUNTIFS(Exécution!$B$5:$B$239,$A26,Exécution!$I$5:$I$239,"Bloqué")</f>
        <v>0</v>
      </c>
      <c r="F26" s="10" t="n">
        <f aca="false">COUNTIFS(Exécution!$B$5:$B$239,$A26,Exécution!$I$5:$I$239,"Non testé")</f>
        <v>24</v>
      </c>
      <c r="G26" s="14" t="n">
        <f aca="false">IF(B26=0,0,C26/B26)</f>
        <v>0</v>
      </c>
    </row>
    <row r="27" customFormat="false" ht="15" hidden="false" customHeight="false" outlineLevel="0" collapsed="false">
      <c r="A27" s="5" t="s">
        <v>73</v>
      </c>
      <c r="B27" s="10" t="n">
        <f aca="false">COUNTIF(Exécution!$B$5:$B$239,A27)</f>
        <v>6</v>
      </c>
      <c r="C27" s="10" t="n">
        <f aca="false">COUNTIFS(Exécution!$B$5:$B$239,$A27,Exécution!$I$5:$I$239,"OK")</f>
        <v>0</v>
      </c>
      <c r="D27" s="10" t="n">
        <f aca="false">COUNTIFS(Exécution!$B$5:$B$239,$A27,Exécution!$I$5:$I$239,"KO")</f>
        <v>0</v>
      </c>
      <c r="E27" s="10" t="n">
        <f aca="false">COUNTIFS(Exécution!$B$5:$B$239,$A27,Exécution!$I$5:$I$239,"Bloqué")</f>
        <v>0</v>
      </c>
      <c r="F27" s="10" t="n">
        <f aca="false">COUNTIFS(Exécution!$B$5:$B$239,$A27,Exécution!$I$5:$I$239,"Non testé")</f>
        <v>6</v>
      </c>
      <c r="G27" s="14" t="n">
        <f aca="false">IF(B27=0,0,C27/B27)</f>
        <v>0</v>
      </c>
    </row>
    <row r="28" customFormat="false" ht="15" hidden="false" customHeight="false" outlineLevel="0" collapsed="false">
      <c r="A28" s="5" t="s">
        <v>74</v>
      </c>
      <c r="B28" s="10" t="n">
        <f aca="false">COUNTIF(Exécution!$B$5:$B$239,A28)</f>
        <v>15</v>
      </c>
      <c r="C28" s="10" t="n">
        <f aca="false">COUNTIFS(Exécution!$B$5:$B$239,$A28,Exécution!$I$5:$I$239,"OK")</f>
        <v>0</v>
      </c>
      <c r="D28" s="10" t="n">
        <f aca="false">COUNTIFS(Exécution!$B$5:$B$239,$A28,Exécution!$I$5:$I$239,"KO")</f>
        <v>0</v>
      </c>
      <c r="E28" s="10" t="n">
        <f aca="false">COUNTIFS(Exécution!$B$5:$B$239,$A28,Exécution!$I$5:$I$239,"Bloqué")</f>
        <v>0</v>
      </c>
      <c r="F28" s="10" t="n">
        <f aca="false">COUNTIFS(Exécution!$B$5:$B$239,$A28,Exécution!$I$5:$I$239,"Non testé")</f>
        <v>15</v>
      </c>
      <c r="G28" s="14" t="n">
        <f aca="false">IF(B28=0,0,C28/B28)</f>
        <v>0</v>
      </c>
    </row>
    <row r="29" customFormat="false" ht="15" hidden="false" customHeight="false" outlineLevel="0" collapsed="false">
      <c r="A29" s="5" t="s">
        <v>75</v>
      </c>
      <c r="B29" s="10" t="n">
        <f aca="false">COUNTIF(Exécution!$B$5:$B$239,A29)</f>
        <v>3</v>
      </c>
      <c r="C29" s="10" t="n">
        <f aca="false">COUNTIFS(Exécution!$B$5:$B$239,$A29,Exécution!$I$5:$I$239,"OK")</f>
        <v>0</v>
      </c>
      <c r="D29" s="10" t="n">
        <f aca="false">COUNTIFS(Exécution!$B$5:$B$239,$A29,Exécution!$I$5:$I$239,"KO")</f>
        <v>0</v>
      </c>
      <c r="E29" s="10" t="n">
        <f aca="false">COUNTIFS(Exécution!$B$5:$B$239,$A29,Exécution!$I$5:$I$239,"Bloqué")</f>
        <v>0</v>
      </c>
      <c r="F29" s="10" t="n">
        <f aca="false">COUNTIFS(Exécution!$B$5:$B$239,$A29,Exécution!$I$5:$I$239,"Non testé")</f>
        <v>3</v>
      </c>
      <c r="G29" s="14" t="n">
        <f aca="false">IF(B29=0,0,C29/B29)</f>
        <v>0</v>
      </c>
    </row>
    <row r="30" customFormat="false" ht="15" hidden="false" customHeight="false" outlineLevel="0" collapsed="false">
      <c r="A30" s="5" t="s">
        <v>76</v>
      </c>
      <c r="B30" s="10" t="n">
        <f aca="false">COUNTIF(Exécution!$B$5:$B$239,A30)</f>
        <v>16</v>
      </c>
      <c r="C30" s="10" t="n">
        <f aca="false">COUNTIFS(Exécution!$B$5:$B$239,$A30,Exécution!$I$5:$I$239,"OK")</f>
        <v>0</v>
      </c>
      <c r="D30" s="10" t="n">
        <f aca="false">COUNTIFS(Exécution!$B$5:$B$239,$A30,Exécution!$I$5:$I$239,"KO")</f>
        <v>0</v>
      </c>
      <c r="E30" s="10" t="n">
        <f aca="false">COUNTIFS(Exécution!$B$5:$B$239,$A30,Exécution!$I$5:$I$239,"Bloqué")</f>
        <v>0</v>
      </c>
      <c r="F30" s="10" t="n">
        <f aca="false">COUNTIFS(Exécution!$B$5:$B$239,$A30,Exécution!$I$5:$I$239,"Non testé")</f>
        <v>16</v>
      </c>
      <c r="G30" s="14" t="n">
        <f aca="false">IF(B30=0,0,C30/B30)</f>
        <v>0</v>
      </c>
    </row>
    <row r="31" customFormat="false" ht="15" hidden="false" customHeight="false" outlineLevel="0" collapsed="false">
      <c r="A31" s="5" t="s">
        <v>77</v>
      </c>
      <c r="B31" s="10" t="n">
        <f aca="false">COUNTIF(Exécution!$B$5:$B$239,A31)</f>
        <v>7</v>
      </c>
      <c r="C31" s="10" t="n">
        <f aca="false">COUNTIFS(Exécution!$B$5:$B$239,$A31,Exécution!$I$5:$I$239,"OK")</f>
        <v>0</v>
      </c>
      <c r="D31" s="10" t="n">
        <f aca="false">COUNTIFS(Exécution!$B$5:$B$239,$A31,Exécution!$I$5:$I$239,"KO")</f>
        <v>0</v>
      </c>
      <c r="E31" s="10" t="n">
        <f aca="false">COUNTIFS(Exécution!$B$5:$B$239,$A31,Exécution!$I$5:$I$239,"Bloqué")</f>
        <v>0</v>
      </c>
      <c r="F31" s="10" t="n">
        <f aca="false">COUNTIFS(Exécution!$B$5:$B$239,$A31,Exécution!$I$5:$I$239,"Non testé")</f>
        <v>7</v>
      </c>
      <c r="G31" s="14" t="n">
        <f aca="false">IF(B31=0,0,C31/B31)</f>
        <v>0</v>
      </c>
    </row>
    <row r="32" customFormat="false" ht="15" hidden="false" customHeight="false" outlineLevel="0" collapsed="false">
      <c r="A32" s="4" t="s">
        <v>78</v>
      </c>
      <c r="B32" s="15" t="n">
        <f aca="false">SUM(B18:B31)</f>
        <v>235</v>
      </c>
      <c r="C32" s="15" t="n">
        <f aca="false">SUM(C18:C31)</f>
        <v>0</v>
      </c>
      <c r="D32" s="15" t="n">
        <f aca="false">SUM(D18:D31)</f>
        <v>0</v>
      </c>
      <c r="E32" s="15" t="n">
        <f aca="false">SUM(E18:E31)</f>
        <v>0</v>
      </c>
      <c r="F32" s="15" t="n">
        <f aca="false">SUM(F18:F31)</f>
        <v>235</v>
      </c>
      <c r="G32" s="16" t="n">
        <f aca="false">IF(B32=0,0,C32/B32)</f>
        <v>0</v>
      </c>
    </row>
    <row r="34" customFormat="false" ht="15" hidden="false" customHeight="false" outlineLevel="0" collapsed="false">
      <c r="A34" s="3" t="s">
        <v>7</v>
      </c>
    </row>
    <row r="35" customFormat="false" ht="15" hidden="false" customHeight="false" outlineLevel="0" collapsed="false">
      <c r="A35" s="17" t="s">
        <v>79</v>
      </c>
      <c r="B35" s="17" t="s">
        <v>78</v>
      </c>
      <c r="C35" s="17" t="s">
        <v>80</v>
      </c>
      <c r="D35" s="17" t="s">
        <v>81</v>
      </c>
      <c r="E35" s="17" t="s">
        <v>82</v>
      </c>
    </row>
    <row r="36" customFormat="false" ht="15" hidden="false" customHeight="false" outlineLevel="0" collapsed="false">
      <c r="A36" s="5" t="s">
        <v>23</v>
      </c>
      <c r="B36" s="10" t="n">
        <f aca="false">COUNTIF(Anomalies!$I$5:$I$204,A36)</f>
        <v>0</v>
      </c>
      <c r="C36" s="10" t="n">
        <f aca="false">B36-D36-E36</f>
        <v>0</v>
      </c>
      <c r="D36" s="10" t="n">
        <f aca="false">COUNTIFS(Anomalies!$I$5:$I$204,A36,Anomalies!$J$5:$J$204,"Fermée")</f>
        <v>0</v>
      </c>
      <c r="E36" s="10" t="n">
        <f aca="false">COUNTIFS(Anomalies!$I$5:$I$204,A36,Anomalies!$J$5:$J$204,"Rejetée")</f>
        <v>0</v>
      </c>
    </row>
    <row r="37" customFormat="false" ht="15" hidden="false" customHeight="false" outlineLevel="0" collapsed="false">
      <c r="A37" s="5" t="s">
        <v>25</v>
      </c>
      <c r="B37" s="10" t="n">
        <f aca="false">COUNTIF(Anomalies!$I$5:$I$204,A37)</f>
        <v>0</v>
      </c>
      <c r="C37" s="10" t="n">
        <f aca="false">B37-D37-E37</f>
        <v>0</v>
      </c>
      <c r="D37" s="10" t="n">
        <f aca="false">COUNTIFS(Anomalies!$I$5:$I$204,A37,Anomalies!$J$5:$J$204,"Fermée")</f>
        <v>0</v>
      </c>
      <c r="E37" s="10" t="n">
        <f aca="false">COUNTIFS(Anomalies!$I$5:$I$204,A37,Anomalies!$J$5:$J$204,"Rejetée")</f>
        <v>0</v>
      </c>
    </row>
    <row r="38" customFormat="false" ht="15" hidden="false" customHeight="false" outlineLevel="0" collapsed="false">
      <c r="A38" s="5" t="s">
        <v>27</v>
      </c>
      <c r="B38" s="10" t="n">
        <f aca="false">COUNTIF(Anomalies!$I$5:$I$204,A38)</f>
        <v>0</v>
      </c>
      <c r="C38" s="10" t="n">
        <f aca="false">B38-D38-E38</f>
        <v>0</v>
      </c>
      <c r="D38" s="10" t="n">
        <f aca="false">COUNTIFS(Anomalies!$I$5:$I$204,A38,Anomalies!$J$5:$J$204,"Fermée")</f>
        <v>0</v>
      </c>
      <c r="E38" s="10" t="n">
        <f aca="false">COUNTIFS(Anomalies!$I$5:$I$204,A38,Anomalies!$J$5:$J$204,"Rejetée")</f>
        <v>0</v>
      </c>
    </row>
    <row r="39" customFormat="false" ht="15" hidden="false" customHeight="false" outlineLevel="0" collapsed="false">
      <c r="A39" s="5" t="s">
        <v>29</v>
      </c>
      <c r="B39" s="10" t="n">
        <f aca="false">COUNTIF(Anomalies!$I$5:$I$204,A39)</f>
        <v>0</v>
      </c>
      <c r="C39" s="10" t="n">
        <f aca="false">B39-D39-E39</f>
        <v>0</v>
      </c>
      <c r="D39" s="10" t="n">
        <f aca="false">COUNTIFS(Anomalies!$I$5:$I$204,A39,Anomalies!$J$5:$J$204,"Fermée")</f>
        <v>0</v>
      </c>
      <c r="E39" s="10" t="n">
        <f aca="false">COUNTIFS(Anomalies!$I$5:$I$204,A39,Anomalies!$J$5:$J$204,"Rejetée")</f>
        <v>0</v>
      </c>
    </row>
    <row r="41" customFormat="false" ht="15" hidden="false" customHeight="false" outlineLevel="0" collapsed="false">
      <c r="A41" s="3" t="s">
        <v>83</v>
      </c>
    </row>
    <row r="42" customFormat="false" ht="15" hidden="false" customHeight="false" outlineLevel="0" collapsed="false">
      <c r="A42" s="4" t="s">
        <v>84</v>
      </c>
      <c r="B42" s="18" t="str">
        <f aca="false">IF(COUNTIF('Synthèse scénarios'!$J$5:$J$55,"Non testé")+COUNTIF('Synthèse scénarios'!$J$5:$J$55,"En cours")=0,"Atteint","Non atteint")</f>
        <v>Non atteint</v>
      </c>
    </row>
    <row r="43" customFormat="false" ht="15" hidden="false" customHeight="false" outlineLevel="0" collapsed="false">
      <c r="A43" s="4" t="s">
        <v>85</v>
      </c>
      <c r="B43" s="18" t="str">
        <f aca="false">IF(AND(B14&gt;0,B13=B14),"Atteint","Non atteint")</f>
        <v>Non atteint</v>
      </c>
    </row>
    <row r="44" customFormat="false" ht="15" hidden="false" customHeight="false" outlineLevel="0" collapsed="false">
      <c r="A44" s="4" t="s">
        <v>86</v>
      </c>
      <c r="B44" s="18" t="str">
        <f aca="false">IF(C36=0,"Atteint","Non atteint")</f>
        <v>Atteint</v>
      </c>
    </row>
    <row r="45" customFormat="false" ht="15" hidden="false" customHeight="false" outlineLevel="0" collapsed="false">
      <c r="A45" s="4" t="s">
        <v>87</v>
      </c>
      <c r="B45" s="18" t="str">
        <f aca="false">IF(C37=0,"Atteint","Non atteint")</f>
        <v>Atteint</v>
      </c>
    </row>
    <row r="46" customFormat="false" ht="15" hidden="false" customHeight="false" outlineLevel="0" collapsed="false">
      <c r="A46" s="4" t="s">
        <v>88</v>
      </c>
      <c r="B46" s="18" t="str">
        <f aca="false">IF(B11&gt;=0.95,"Atteint","Non atteint")</f>
        <v>Non atteint</v>
      </c>
    </row>
    <row r="47" customFormat="false" ht="15" hidden="false" customHeight="false" outlineLevel="0" collapsed="false">
      <c r="A47" s="4" t="s">
        <v>89</v>
      </c>
      <c r="B47" s="19" t="str">
        <f aca="false">IF(COUNTIF(B42:B46,"Atteint")=5,"Recette prononçable","Poursuivre la recette")</f>
        <v>Poursuivre la recette</v>
      </c>
      <c r="C47" s="19"/>
      <c r="D47" s="19"/>
    </row>
  </sheetData>
  <mergeCells count="1">
    <mergeCell ref="B47:D47"/>
  </mergeCells>
  <conditionalFormatting sqref="B42:B46">
    <cfRule type="cellIs" priority="2" operator="equal" aboveAverage="0" equalAverage="0" bottom="0" percent="0" rank="0" text="" dxfId="0">
      <formula>"Atteint"</formula>
    </cfRule>
    <cfRule type="cellIs" priority="3" operator="equal" aboveAverage="0" equalAverage="0" bottom="0" percent="0" rank="0" text="" dxfId="1">
      <formula>"Non atteint"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5C9"/>
    <pageSetUpPr fitToPage="tru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6"/>
    <col collapsed="false" customWidth="true" hidden="false" outlineLevel="0" max="5" min="5" style="0" width="28"/>
    <col collapsed="false" customWidth="true" hidden="false" outlineLevel="0" max="6" min="6" style="0" width="30"/>
    <col collapsed="false" customWidth="true" hidden="false" outlineLevel="0" max="7" min="7" style="0" width="22"/>
  </cols>
  <sheetData>
    <row r="1" customFormat="false" ht="19.7" hidden="false" customHeight="false" outlineLevel="0" collapsed="false">
      <c r="A1" s="1" t="s">
        <v>3</v>
      </c>
    </row>
    <row r="2" customFormat="false" ht="15" hidden="false" customHeight="false" outlineLevel="0" collapsed="false">
      <c r="A2" s="2" t="s">
        <v>90</v>
      </c>
    </row>
    <row r="4" customFormat="false" ht="30" hidden="false" customHeight="true" outlineLevel="0" collapsed="false">
      <c r="A4" s="20" t="s">
        <v>91</v>
      </c>
      <c r="B4" s="20" t="s">
        <v>92</v>
      </c>
      <c r="C4" s="20" t="s">
        <v>93</v>
      </c>
      <c r="D4" s="20" t="s">
        <v>94</v>
      </c>
      <c r="E4" s="20" t="s">
        <v>95</v>
      </c>
      <c r="F4" s="20" t="s">
        <v>96</v>
      </c>
      <c r="G4" s="20" t="s">
        <v>97</v>
      </c>
    </row>
    <row r="5" customFormat="false" ht="15" hidden="false" customHeight="false" outlineLevel="0" collapsed="false">
      <c r="A5" s="4" t="s">
        <v>98</v>
      </c>
      <c r="B5" s="5" t="s">
        <v>99</v>
      </c>
      <c r="C5" s="5" t="s">
        <v>100</v>
      </c>
      <c r="D5" s="5" t="s">
        <v>99</v>
      </c>
      <c r="E5" s="21"/>
      <c r="F5" s="21"/>
      <c r="G5" s="21"/>
    </row>
    <row r="6" customFormat="false" ht="15" hidden="false" customHeight="false" outlineLevel="0" collapsed="false">
      <c r="A6" s="4" t="s">
        <v>101</v>
      </c>
      <c r="B6" s="5" t="s">
        <v>102</v>
      </c>
      <c r="C6" s="5" t="s">
        <v>103</v>
      </c>
      <c r="D6" s="5" t="s">
        <v>104</v>
      </c>
      <c r="E6" s="21"/>
      <c r="F6" s="21"/>
      <c r="G6" s="21"/>
    </row>
    <row r="7" customFormat="false" ht="15" hidden="false" customHeight="false" outlineLevel="0" collapsed="false">
      <c r="A7" s="4" t="s">
        <v>105</v>
      </c>
      <c r="B7" s="5" t="s">
        <v>106</v>
      </c>
      <c r="C7" s="5" t="s">
        <v>107</v>
      </c>
      <c r="D7" s="5" t="s">
        <v>108</v>
      </c>
      <c r="E7" s="21"/>
      <c r="F7" s="21"/>
      <c r="G7" s="21"/>
    </row>
    <row r="8" customFormat="false" ht="15" hidden="false" customHeight="false" outlineLevel="0" collapsed="false">
      <c r="A8" s="4" t="s">
        <v>109</v>
      </c>
      <c r="B8" s="5" t="s">
        <v>110</v>
      </c>
      <c r="C8" s="5" t="s">
        <v>111</v>
      </c>
      <c r="D8" s="5" t="s">
        <v>104</v>
      </c>
      <c r="E8" s="21"/>
      <c r="F8" s="21"/>
      <c r="G8" s="21"/>
    </row>
    <row r="9" customFormat="false" ht="15" hidden="false" customHeight="false" outlineLevel="0" collapsed="false">
      <c r="A9" s="4" t="s">
        <v>112</v>
      </c>
      <c r="B9" s="5" t="s">
        <v>113</v>
      </c>
      <c r="C9" s="5" t="s">
        <v>114</v>
      </c>
      <c r="D9" s="5" t="s">
        <v>108</v>
      </c>
      <c r="E9" s="21"/>
      <c r="F9" s="21"/>
      <c r="G9" s="21"/>
    </row>
    <row r="10" customFormat="false" ht="15" hidden="false" customHeight="false" outlineLevel="0" collapsed="false">
      <c r="A10" s="4" t="s">
        <v>115</v>
      </c>
      <c r="B10" s="5" t="s">
        <v>75</v>
      </c>
      <c r="C10" s="5" t="s">
        <v>116</v>
      </c>
      <c r="D10" s="5" t="s">
        <v>117</v>
      </c>
      <c r="E10" s="21"/>
      <c r="F10" s="21"/>
      <c r="G10" s="21"/>
    </row>
    <row r="11" customFormat="false" ht="15" hidden="false" customHeight="false" outlineLevel="0" collapsed="false">
      <c r="A11" s="4" t="s">
        <v>118</v>
      </c>
      <c r="B11" s="5" t="s">
        <v>119</v>
      </c>
      <c r="C11" s="5" t="s">
        <v>120</v>
      </c>
      <c r="D11" s="5" t="s">
        <v>121</v>
      </c>
      <c r="E11" s="21"/>
      <c r="F11" s="21"/>
      <c r="G11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418A"/>
    <pageSetUpPr fitToPage="true"/>
  </sheetPr>
  <dimension ref="A1:M2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9"/>
    <col collapsed="false" customWidth="true" hidden="false" outlineLevel="0" max="5" min="5" style="0" width="6"/>
    <col collapsed="false" customWidth="true" hidden="false" outlineLevel="0" max="6" min="6" style="0" width="10"/>
    <col collapsed="false" customWidth="true" hidden="false" outlineLevel="0" max="7" min="7" style="0" width="52"/>
    <col collapsed="false" customWidth="true" hidden="false" outlineLevel="0" max="8" min="8" style="0" width="44"/>
    <col collapsed="false" customWidth="true" hidden="false" outlineLevel="0" max="9" min="9" style="0" width="11"/>
    <col collapsed="false" customWidth="true" hidden="false" outlineLevel="0" max="10" min="10" style="0" width="36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11"/>
  </cols>
  <sheetData>
    <row r="1" customFormat="false" ht="19.7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30" hidden="false" customHeight="true" outlineLevel="0" collapsed="false">
      <c r="A4" s="20" t="s">
        <v>124</v>
      </c>
      <c r="B4" s="20" t="s">
        <v>61</v>
      </c>
      <c r="C4" s="20" t="s">
        <v>125</v>
      </c>
      <c r="D4" s="20" t="s">
        <v>126</v>
      </c>
      <c r="E4" s="20" t="s">
        <v>127</v>
      </c>
      <c r="F4" s="20" t="s">
        <v>128</v>
      </c>
      <c r="G4" s="20" t="s">
        <v>129</v>
      </c>
      <c r="H4" s="20" t="s">
        <v>130</v>
      </c>
      <c r="I4" s="20" t="s">
        <v>131</v>
      </c>
      <c r="J4" s="20" t="s">
        <v>132</v>
      </c>
      <c r="K4" s="20" t="s">
        <v>133</v>
      </c>
      <c r="L4" s="20" t="s">
        <v>134</v>
      </c>
      <c r="M4" s="20" t="s">
        <v>135</v>
      </c>
    </row>
    <row r="5" customFormat="false" ht="22.35" hidden="false" customHeight="false" outlineLevel="0" collapsed="false">
      <c r="A5" s="4" t="s">
        <v>136</v>
      </c>
      <c r="B5" s="5" t="s">
        <v>64</v>
      </c>
      <c r="C5" s="5" t="s">
        <v>137</v>
      </c>
      <c r="D5" s="10" t="s">
        <v>138</v>
      </c>
      <c r="E5" s="10" t="n">
        <v>1</v>
      </c>
      <c r="F5" s="10" t="s">
        <v>98</v>
      </c>
      <c r="G5" s="5" t="s">
        <v>139</v>
      </c>
      <c r="H5" s="5" t="s">
        <v>140</v>
      </c>
      <c r="I5" s="22" t="s">
        <v>14</v>
      </c>
      <c r="J5" s="21"/>
      <c r="K5" s="21"/>
      <c r="L5" s="21"/>
      <c r="M5" s="23"/>
    </row>
    <row r="6" customFormat="false" ht="22.35" hidden="false" customHeight="false" outlineLevel="0" collapsed="false">
      <c r="A6" s="4" t="s">
        <v>136</v>
      </c>
      <c r="B6" s="5" t="s">
        <v>64</v>
      </c>
      <c r="C6" s="5" t="s">
        <v>137</v>
      </c>
      <c r="D6" s="10" t="s">
        <v>138</v>
      </c>
      <c r="E6" s="10" t="n">
        <v>2</v>
      </c>
      <c r="F6" s="10" t="s">
        <v>98</v>
      </c>
      <c r="G6" s="5" t="s">
        <v>141</v>
      </c>
      <c r="H6" s="5" t="s">
        <v>142</v>
      </c>
      <c r="I6" s="22" t="s">
        <v>14</v>
      </c>
      <c r="J6" s="21"/>
      <c r="K6" s="21"/>
      <c r="L6" s="21"/>
      <c r="M6" s="23"/>
    </row>
    <row r="7" customFormat="false" ht="22.35" hidden="false" customHeight="false" outlineLevel="0" collapsed="false">
      <c r="A7" s="4" t="s">
        <v>136</v>
      </c>
      <c r="B7" s="5" t="s">
        <v>64</v>
      </c>
      <c r="C7" s="5" t="s">
        <v>137</v>
      </c>
      <c r="D7" s="10" t="s">
        <v>138</v>
      </c>
      <c r="E7" s="10" t="n">
        <v>3</v>
      </c>
      <c r="F7" s="10" t="s">
        <v>98</v>
      </c>
      <c r="G7" s="5" t="s">
        <v>143</v>
      </c>
      <c r="H7" s="5" t="s">
        <v>144</v>
      </c>
      <c r="I7" s="22" t="s">
        <v>14</v>
      </c>
      <c r="J7" s="21"/>
      <c r="K7" s="21"/>
      <c r="L7" s="21"/>
      <c r="M7" s="23"/>
    </row>
    <row r="8" customFormat="false" ht="22.35" hidden="false" customHeight="false" outlineLevel="0" collapsed="false">
      <c r="A8" s="4" t="s">
        <v>136</v>
      </c>
      <c r="B8" s="5" t="s">
        <v>64</v>
      </c>
      <c r="C8" s="5" t="s">
        <v>137</v>
      </c>
      <c r="D8" s="10" t="s">
        <v>138</v>
      </c>
      <c r="E8" s="10" t="n">
        <v>4</v>
      </c>
      <c r="F8" s="10" t="s">
        <v>98</v>
      </c>
      <c r="G8" s="5" t="s">
        <v>145</v>
      </c>
      <c r="H8" s="5" t="s">
        <v>146</v>
      </c>
      <c r="I8" s="22" t="s">
        <v>14</v>
      </c>
      <c r="J8" s="21"/>
      <c r="K8" s="21"/>
      <c r="L8" s="21"/>
      <c r="M8" s="23"/>
    </row>
    <row r="9" customFormat="false" ht="32.8" hidden="false" customHeight="false" outlineLevel="0" collapsed="false">
      <c r="A9" s="4" t="s">
        <v>147</v>
      </c>
      <c r="B9" s="5" t="s">
        <v>64</v>
      </c>
      <c r="C9" s="5" t="s">
        <v>148</v>
      </c>
      <c r="D9" s="10" t="s">
        <v>138</v>
      </c>
      <c r="E9" s="10" t="n">
        <v>1</v>
      </c>
      <c r="F9" s="10" t="s">
        <v>98</v>
      </c>
      <c r="G9" s="5" t="s">
        <v>149</v>
      </c>
      <c r="H9" s="5" t="s">
        <v>150</v>
      </c>
      <c r="I9" s="22" t="s">
        <v>14</v>
      </c>
      <c r="J9" s="21"/>
      <c r="K9" s="21"/>
      <c r="L9" s="21"/>
      <c r="M9" s="23"/>
    </row>
    <row r="10" customFormat="false" ht="22.35" hidden="false" customHeight="false" outlineLevel="0" collapsed="false">
      <c r="A10" s="4" t="s">
        <v>147</v>
      </c>
      <c r="B10" s="5" t="s">
        <v>64</v>
      </c>
      <c r="C10" s="5" t="s">
        <v>148</v>
      </c>
      <c r="D10" s="10" t="s">
        <v>138</v>
      </c>
      <c r="E10" s="10" t="n">
        <v>2</v>
      </c>
      <c r="F10" s="10" t="s">
        <v>98</v>
      </c>
      <c r="G10" s="5" t="s">
        <v>151</v>
      </c>
      <c r="H10" s="5" t="s">
        <v>152</v>
      </c>
      <c r="I10" s="22" t="s">
        <v>14</v>
      </c>
      <c r="J10" s="21"/>
      <c r="K10" s="21"/>
      <c r="L10" s="21"/>
      <c r="M10" s="23"/>
    </row>
    <row r="11" customFormat="false" ht="22.35" hidden="false" customHeight="false" outlineLevel="0" collapsed="false">
      <c r="A11" s="4" t="s">
        <v>147</v>
      </c>
      <c r="B11" s="5" t="s">
        <v>64</v>
      </c>
      <c r="C11" s="5" t="s">
        <v>148</v>
      </c>
      <c r="D11" s="10" t="s">
        <v>138</v>
      </c>
      <c r="E11" s="10" t="n">
        <v>3</v>
      </c>
      <c r="F11" s="10" t="s">
        <v>98</v>
      </c>
      <c r="G11" s="5" t="s">
        <v>153</v>
      </c>
      <c r="H11" s="5" t="s">
        <v>154</v>
      </c>
      <c r="I11" s="22" t="s">
        <v>14</v>
      </c>
      <c r="J11" s="21"/>
      <c r="K11" s="21"/>
      <c r="L11" s="21"/>
      <c r="M11" s="23"/>
    </row>
    <row r="12" customFormat="false" ht="22.35" hidden="false" customHeight="false" outlineLevel="0" collapsed="false">
      <c r="A12" s="4" t="s">
        <v>155</v>
      </c>
      <c r="B12" s="5" t="s">
        <v>64</v>
      </c>
      <c r="C12" s="5" t="s">
        <v>156</v>
      </c>
      <c r="D12" s="10" t="s">
        <v>157</v>
      </c>
      <c r="E12" s="10" t="n">
        <v>1</v>
      </c>
      <c r="F12" s="10" t="s">
        <v>98</v>
      </c>
      <c r="G12" s="5" t="s">
        <v>158</v>
      </c>
      <c r="H12" s="5" t="s">
        <v>159</v>
      </c>
      <c r="I12" s="22" t="s">
        <v>14</v>
      </c>
      <c r="J12" s="21"/>
      <c r="K12" s="21"/>
      <c r="L12" s="21"/>
      <c r="M12" s="23"/>
    </row>
    <row r="13" customFormat="false" ht="22.35" hidden="false" customHeight="false" outlineLevel="0" collapsed="false">
      <c r="A13" s="4" t="s">
        <v>155</v>
      </c>
      <c r="B13" s="5" t="s">
        <v>64</v>
      </c>
      <c r="C13" s="5" t="s">
        <v>156</v>
      </c>
      <c r="D13" s="10" t="s">
        <v>157</v>
      </c>
      <c r="E13" s="10" t="n">
        <v>2</v>
      </c>
      <c r="F13" s="10" t="s">
        <v>98</v>
      </c>
      <c r="G13" s="5" t="s">
        <v>160</v>
      </c>
      <c r="H13" s="5" t="s">
        <v>161</v>
      </c>
      <c r="I13" s="22" t="s">
        <v>14</v>
      </c>
      <c r="J13" s="21"/>
      <c r="K13" s="21"/>
      <c r="L13" s="21"/>
      <c r="M13" s="23"/>
    </row>
    <row r="14" customFormat="false" ht="22.35" hidden="false" customHeight="false" outlineLevel="0" collapsed="false">
      <c r="A14" s="4" t="s">
        <v>155</v>
      </c>
      <c r="B14" s="5" t="s">
        <v>64</v>
      </c>
      <c r="C14" s="5" t="s">
        <v>156</v>
      </c>
      <c r="D14" s="10" t="s">
        <v>157</v>
      </c>
      <c r="E14" s="10" t="n">
        <v>3</v>
      </c>
      <c r="F14" s="10" t="s">
        <v>98</v>
      </c>
      <c r="G14" s="5" t="s">
        <v>162</v>
      </c>
      <c r="H14" s="5" t="s">
        <v>163</v>
      </c>
      <c r="I14" s="22" t="s">
        <v>14</v>
      </c>
      <c r="J14" s="21"/>
      <c r="K14" s="21"/>
      <c r="L14" s="21"/>
      <c r="M14" s="23"/>
    </row>
    <row r="15" customFormat="false" ht="22.35" hidden="false" customHeight="false" outlineLevel="0" collapsed="false">
      <c r="A15" s="4" t="s">
        <v>155</v>
      </c>
      <c r="B15" s="5" t="s">
        <v>64</v>
      </c>
      <c r="C15" s="5" t="s">
        <v>156</v>
      </c>
      <c r="D15" s="10" t="s">
        <v>157</v>
      </c>
      <c r="E15" s="10" t="n">
        <v>4</v>
      </c>
      <c r="F15" s="10" t="s">
        <v>98</v>
      </c>
      <c r="G15" s="5" t="s">
        <v>164</v>
      </c>
      <c r="H15" s="5" t="s">
        <v>165</v>
      </c>
      <c r="I15" s="22" t="s">
        <v>14</v>
      </c>
      <c r="J15" s="21"/>
      <c r="K15" s="21"/>
      <c r="L15" s="21"/>
      <c r="M15" s="23"/>
    </row>
    <row r="16" customFormat="false" ht="22.35" hidden="false" customHeight="false" outlineLevel="0" collapsed="false">
      <c r="A16" s="4" t="s">
        <v>155</v>
      </c>
      <c r="B16" s="5" t="s">
        <v>64</v>
      </c>
      <c r="C16" s="5" t="s">
        <v>156</v>
      </c>
      <c r="D16" s="10" t="s">
        <v>157</v>
      </c>
      <c r="E16" s="10" t="n">
        <v>5</v>
      </c>
      <c r="F16" s="10" t="s">
        <v>98</v>
      </c>
      <c r="G16" s="5" t="s">
        <v>166</v>
      </c>
      <c r="H16" s="5" t="s">
        <v>167</v>
      </c>
      <c r="I16" s="22" t="s">
        <v>14</v>
      </c>
      <c r="J16" s="21"/>
      <c r="K16" s="21"/>
      <c r="L16" s="21"/>
      <c r="M16" s="23"/>
    </row>
    <row r="17" customFormat="false" ht="22.35" hidden="false" customHeight="false" outlineLevel="0" collapsed="false">
      <c r="A17" s="4" t="s">
        <v>155</v>
      </c>
      <c r="B17" s="5" t="s">
        <v>64</v>
      </c>
      <c r="C17" s="5" t="s">
        <v>156</v>
      </c>
      <c r="D17" s="10" t="s">
        <v>157</v>
      </c>
      <c r="E17" s="10" t="n">
        <v>6</v>
      </c>
      <c r="F17" s="10" t="s">
        <v>98</v>
      </c>
      <c r="G17" s="5" t="s">
        <v>168</v>
      </c>
      <c r="H17" s="5" t="s">
        <v>169</v>
      </c>
      <c r="I17" s="22" t="s">
        <v>14</v>
      </c>
      <c r="J17" s="21"/>
      <c r="K17" s="21"/>
      <c r="L17" s="21"/>
      <c r="M17" s="23"/>
    </row>
    <row r="18" customFormat="false" ht="22.35" hidden="false" customHeight="false" outlineLevel="0" collapsed="false">
      <c r="A18" s="4" t="s">
        <v>170</v>
      </c>
      <c r="B18" s="5" t="s">
        <v>64</v>
      </c>
      <c r="C18" s="5" t="s">
        <v>171</v>
      </c>
      <c r="D18" s="10" t="s">
        <v>138</v>
      </c>
      <c r="E18" s="10" t="n">
        <v>1</v>
      </c>
      <c r="F18" s="10" t="s">
        <v>98</v>
      </c>
      <c r="G18" s="5" t="s">
        <v>172</v>
      </c>
      <c r="H18" s="5" t="s">
        <v>173</v>
      </c>
      <c r="I18" s="22" t="s">
        <v>14</v>
      </c>
      <c r="J18" s="21"/>
      <c r="K18" s="21"/>
      <c r="L18" s="21"/>
      <c r="M18" s="23"/>
    </row>
    <row r="19" customFormat="false" ht="22.35" hidden="false" customHeight="false" outlineLevel="0" collapsed="false">
      <c r="A19" s="4" t="s">
        <v>170</v>
      </c>
      <c r="B19" s="5" t="s">
        <v>64</v>
      </c>
      <c r="C19" s="5" t="s">
        <v>171</v>
      </c>
      <c r="D19" s="10" t="s">
        <v>138</v>
      </c>
      <c r="E19" s="10" t="n">
        <v>2</v>
      </c>
      <c r="F19" s="10" t="s">
        <v>98</v>
      </c>
      <c r="G19" s="5" t="s">
        <v>174</v>
      </c>
      <c r="H19" s="5" t="s">
        <v>175</v>
      </c>
      <c r="I19" s="22" t="s">
        <v>14</v>
      </c>
      <c r="J19" s="21"/>
      <c r="K19" s="21"/>
      <c r="L19" s="21"/>
      <c r="M19" s="23"/>
    </row>
    <row r="20" customFormat="false" ht="22.35" hidden="false" customHeight="false" outlineLevel="0" collapsed="false">
      <c r="A20" s="4" t="s">
        <v>170</v>
      </c>
      <c r="B20" s="5" t="s">
        <v>64</v>
      </c>
      <c r="C20" s="5" t="s">
        <v>171</v>
      </c>
      <c r="D20" s="10" t="s">
        <v>138</v>
      </c>
      <c r="E20" s="10" t="n">
        <v>3</v>
      </c>
      <c r="F20" s="10" t="s">
        <v>98</v>
      </c>
      <c r="G20" s="5" t="s">
        <v>176</v>
      </c>
      <c r="H20" s="5" t="s">
        <v>177</v>
      </c>
      <c r="I20" s="22" t="s">
        <v>14</v>
      </c>
      <c r="J20" s="21"/>
      <c r="K20" s="21"/>
      <c r="L20" s="21"/>
      <c r="M20" s="23"/>
    </row>
    <row r="21" customFormat="false" ht="22.35" hidden="false" customHeight="false" outlineLevel="0" collapsed="false">
      <c r="A21" s="4" t="s">
        <v>170</v>
      </c>
      <c r="B21" s="5" t="s">
        <v>64</v>
      </c>
      <c r="C21" s="5" t="s">
        <v>171</v>
      </c>
      <c r="D21" s="10" t="s">
        <v>138</v>
      </c>
      <c r="E21" s="10" t="n">
        <v>4</v>
      </c>
      <c r="F21" s="10" t="s">
        <v>98</v>
      </c>
      <c r="G21" s="5" t="s">
        <v>178</v>
      </c>
      <c r="H21" s="5" t="s">
        <v>179</v>
      </c>
      <c r="I21" s="22" t="s">
        <v>14</v>
      </c>
      <c r="J21" s="21"/>
      <c r="K21" s="21"/>
      <c r="L21" s="21"/>
      <c r="M21" s="23"/>
    </row>
    <row r="22" customFormat="false" ht="22.35" hidden="false" customHeight="false" outlineLevel="0" collapsed="false">
      <c r="A22" s="4" t="s">
        <v>170</v>
      </c>
      <c r="B22" s="5" t="s">
        <v>64</v>
      </c>
      <c r="C22" s="5" t="s">
        <v>171</v>
      </c>
      <c r="D22" s="10" t="s">
        <v>138</v>
      </c>
      <c r="E22" s="10" t="n">
        <v>5</v>
      </c>
      <c r="F22" s="10" t="s">
        <v>98</v>
      </c>
      <c r="G22" s="5" t="s">
        <v>180</v>
      </c>
      <c r="H22" s="5" t="s">
        <v>181</v>
      </c>
      <c r="I22" s="22" t="s">
        <v>14</v>
      </c>
      <c r="J22" s="21"/>
      <c r="K22" s="21"/>
      <c r="L22" s="21"/>
      <c r="M22" s="23"/>
    </row>
    <row r="23" customFormat="false" ht="22.35" hidden="false" customHeight="false" outlineLevel="0" collapsed="false">
      <c r="A23" s="4" t="s">
        <v>182</v>
      </c>
      <c r="B23" s="5" t="s">
        <v>64</v>
      </c>
      <c r="C23" s="5" t="s">
        <v>183</v>
      </c>
      <c r="D23" s="10" t="s">
        <v>157</v>
      </c>
      <c r="E23" s="10" t="n">
        <v>1</v>
      </c>
      <c r="F23" s="10" t="s">
        <v>98</v>
      </c>
      <c r="G23" s="5" t="s">
        <v>184</v>
      </c>
      <c r="H23" s="5" t="s">
        <v>185</v>
      </c>
      <c r="I23" s="22" t="s">
        <v>14</v>
      </c>
      <c r="J23" s="21"/>
      <c r="K23" s="21"/>
      <c r="L23" s="21"/>
      <c r="M23" s="23"/>
    </row>
    <row r="24" customFormat="false" ht="22.35" hidden="false" customHeight="false" outlineLevel="0" collapsed="false">
      <c r="A24" s="4" t="s">
        <v>182</v>
      </c>
      <c r="B24" s="5" t="s">
        <v>64</v>
      </c>
      <c r="C24" s="5" t="s">
        <v>183</v>
      </c>
      <c r="D24" s="10" t="s">
        <v>157</v>
      </c>
      <c r="E24" s="10" t="n">
        <v>2</v>
      </c>
      <c r="F24" s="10" t="s">
        <v>98</v>
      </c>
      <c r="G24" s="5" t="s">
        <v>186</v>
      </c>
      <c r="H24" s="5" t="s">
        <v>187</v>
      </c>
      <c r="I24" s="22" t="s">
        <v>14</v>
      </c>
      <c r="J24" s="21"/>
      <c r="K24" s="21"/>
      <c r="L24" s="21"/>
      <c r="M24" s="23"/>
    </row>
    <row r="25" customFormat="false" ht="22.35" hidden="false" customHeight="false" outlineLevel="0" collapsed="false">
      <c r="A25" s="4" t="s">
        <v>182</v>
      </c>
      <c r="B25" s="5" t="s">
        <v>64</v>
      </c>
      <c r="C25" s="5" t="s">
        <v>183</v>
      </c>
      <c r="D25" s="10" t="s">
        <v>157</v>
      </c>
      <c r="E25" s="10" t="n">
        <v>3</v>
      </c>
      <c r="F25" s="10" t="s">
        <v>98</v>
      </c>
      <c r="G25" s="5" t="s">
        <v>188</v>
      </c>
      <c r="H25" s="5" t="s">
        <v>189</v>
      </c>
      <c r="I25" s="22" t="s">
        <v>14</v>
      </c>
      <c r="J25" s="21"/>
      <c r="K25" s="21"/>
      <c r="L25" s="21"/>
      <c r="M25" s="23"/>
    </row>
    <row r="26" customFormat="false" ht="22.35" hidden="false" customHeight="false" outlineLevel="0" collapsed="false">
      <c r="A26" s="4" t="s">
        <v>182</v>
      </c>
      <c r="B26" s="5" t="s">
        <v>64</v>
      </c>
      <c r="C26" s="5" t="s">
        <v>183</v>
      </c>
      <c r="D26" s="10" t="s">
        <v>157</v>
      </c>
      <c r="E26" s="10" t="n">
        <v>4</v>
      </c>
      <c r="F26" s="10" t="s">
        <v>98</v>
      </c>
      <c r="G26" s="5" t="s">
        <v>190</v>
      </c>
      <c r="H26" s="5" t="s">
        <v>191</v>
      </c>
      <c r="I26" s="22" t="s">
        <v>14</v>
      </c>
      <c r="J26" s="21"/>
      <c r="K26" s="21"/>
      <c r="L26" s="21"/>
      <c r="M26" s="23"/>
    </row>
    <row r="27" customFormat="false" ht="22.35" hidden="false" customHeight="false" outlineLevel="0" collapsed="false">
      <c r="A27" s="4" t="s">
        <v>192</v>
      </c>
      <c r="B27" s="5" t="s">
        <v>65</v>
      </c>
      <c r="C27" s="5" t="s">
        <v>193</v>
      </c>
      <c r="D27" s="10" t="s">
        <v>138</v>
      </c>
      <c r="E27" s="10" t="n">
        <v>1</v>
      </c>
      <c r="F27" s="10" t="s">
        <v>101</v>
      </c>
      <c r="G27" s="5" t="s">
        <v>194</v>
      </c>
      <c r="H27" s="5" t="s">
        <v>195</v>
      </c>
      <c r="I27" s="22" t="s">
        <v>14</v>
      </c>
      <c r="J27" s="21"/>
      <c r="K27" s="21"/>
      <c r="L27" s="21"/>
      <c r="M27" s="23"/>
    </row>
    <row r="28" customFormat="false" ht="22.35" hidden="false" customHeight="false" outlineLevel="0" collapsed="false">
      <c r="A28" s="4" t="s">
        <v>192</v>
      </c>
      <c r="B28" s="5" t="s">
        <v>65</v>
      </c>
      <c r="C28" s="5" t="s">
        <v>193</v>
      </c>
      <c r="D28" s="10" t="s">
        <v>138</v>
      </c>
      <c r="E28" s="10" t="n">
        <v>2</v>
      </c>
      <c r="F28" s="10" t="s">
        <v>101</v>
      </c>
      <c r="G28" s="5" t="s">
        <v>196</v>
      </c>
      <c r="H28" s="5" t="s">
        <v>197</v>
      </c>
      <c r="I28" s="22" t="s">
        <v>14</v>
      </c>
      <c r="J28" s="21"/>
      <c r="K28" s="21"/>
      <c r="L28" s="21"/>
      <c r="M28" s="23"/>
    </row>
    <row r="29" customFormat="false" ht="32.8" hidden="false" customHeight="false" outlineLevel="0" collapsed="false">
      <c r="A29" s="4" t="s">
        <v>192</v>
      </c>
      <c r="B29" s="5" t="s">
        <v>65</v>
      </c>
      <c r="C29" s="5" t="s">
        <v>193</v>
      </c>
      <c r="D29" s="10" t="s">
        <v>138</v>
      </c>
      <c r="E29" s="10" t="n">
        <v>3</v>
      </c>
      <c r="F29" s="10" t="s">
        <v>101</v>
      </c>
      <c r="G29" s="5" t="s">
        <v>198</v>
      </c>
      <c r="H29" s="5" t="s">
        <v>199</v>
      </c>
      <c r="I29" s="22" t="s">
        <v>14</v>
      </c>
      <c r="J29" s="21"/>
      <c r="K29" s="21"/>
      <c r="L29" s="21"/>
      <c r="M29" s="23"/>
    </row>
    <row r="30" customFormat="false" ht="22.35" hidden="false" customHeight="false" outlineLevel="0" collapsed="false">
      <c r="A30" s="4" t="s">
        <v>192</v>
      </c>
      <c r="B30" s="5" t="s">
        <v>65</v>
      </c>
      <c r="C30" s="5" t="s">
        <v>193</v>
      </c>
      <c r="D30" s="10" t="s">
        <v>138</v>
      </c>
      <c r="E30" s="10" t="n">
        <v>4</v>
      </c>
      <c r="F30" s="10" t="s">
        <v>101</v>
      </c>
      <c r="G30" s="5" t="s">
        <v>200</v>
      </c>
      <c r="H30" s="5" t="s">
        <v>201</v>
      </c>
      <c r="I30" s="22" t="s">
        <v>14</v>
      </c>
      <c r="J30" s="21"/>
      <c r="K30" s="21"/>
      <c r="L30" s="21"/>
      <c r="M30" s="23"/>
    </row>
    <row r="31" customFormat="false" ht="22.35" hidden="false" customHeight="false" outlineLevel="0" collapsed="false">
      <c r="A31" s="4" t="s">
        <v>202</v>
      </c>
      <c r="B31" s="5" t="s">
        <v>65</v>
      </c>
      <c r="C31" s="5" t="s">
        <v>203</v>
      </c>
      <c r="D31" s="10" t="s">
        <v>157</v>
      </c>
      <c r="E31" s="10" t="n">
        <v>1</v>
      </c>
      <c r="F31" s="10" t="s">
        <v>105</v>
      </c>
      <c r="G31" s="5" t="s">
        <v>204</v>
      </c>
      <c r="H31" s="5" t="s">
        <v>205</v>
      </c>
      <c r="I31" s="22" t="s">
        <v>14</v>
      </c>
      <c r="J31" s="21"/>
      <c r="K31" s="21"/>
      <c r="L31" s="21"/>
      <c r="M31" s="23"/>
    </row>
    <row r="32" customFormat="false" ht="15" hidden="false" customHeight="false" outlineLevel="0" collapsed="false">
      <c r="A32" s="4" t="s">
        <v>202</v>
      </c>
      <c r="B32" s="5" t="s">
        <v>65</v>
      </c>
      <c r="C32" s="5" t="s">
        <v>203</v>
      </c>
      <c r="D32" s="10" t="s">
        <v>157</v>
      </c>
      <c r="E32" s="10" t="n">
        <v>2</v>
      </c>
      <c r="F32" s="10" t="s">
        <v>105</v>
      </c>
      <c r="G32" s="5" t="s">
        <v>206</v>
      </c>
      <c r="H32" s="5" t="s">
        <v>207</v>
      </c>
      <c r="I32" s="22" t="s">
        <v>14</v>
      </c>
      <c r="J32" s="21"/>
      <c r="K32" s="21"/>
      <c r="L32" s="21"/>
      <c r="M32" s="23"/>
    </row>
    <row r="33" customFormat="false" ht="15" hidden="false" customHeight="false" outlineLevel="0" collapsed="false">
      <c r="A33" s="4" t="s">
        <v>202</v>
      </c>
      <c r="B33" s="5" t="s">
        <v>65</v>
      </c>
      <c r="C33" s="5" t="s">
        <v>203</v>
      </c>
      <c r="D33" s="10" t="s">
        <v>157</v>
      </c>
      <c r="E33" s="10" t="n">
        <v>3</v>
      </c>
      <c r="F33" s="10" t="s">
        <v>98</v>
      </c>
      <c r="G33" s="5" t="s">
        <v>208</v>
      </c>
      <c r="H33" s="5" t="s">
        <v>209</v>
      </c>
      <c r="I33" s="22" t="s">
        <v>14</v>
      </c>
      <c r="J33" s="21"/>
      <c r="K33" s="21"/>
      <c r="L33" s="21"/>
      <c r="M33" s="23"/>
    </row>
    <row r="34" customFormat="false" ht="22.35" hidden="false" customHeight="false" outlineLevel="0" collapsed="false">
      <c r="A34" s="4" t="s">
        <v>202</v>
      </c>
      <c r="B34" s="5" t="s">
        <v>65</v>
      </c>
      <c r="C34" s="5" t="s">
        <v>203</v>
      </c>
      <c r="D34" s="10" t="s">
        <v>157</v>
      </c>
      <c r="E34" s="10" t="n">
        <v>4</v>
      </c>
      <c r="F34" s="10" t="s">
        <v>210</v>
      </c>
      <c r="G34" s="5" t="s">
        <v>211</v>
      </c>
      <c r="H34" s="5" t="s">
        <v>212</v>
      </c>
      <c r="I34" s="22" t="s">
        <v>14</v>
      </c>
      <c r="J34" s="21"/>
      <c r="K34" s="21"/>
      <c r="L34" s="21"/>
      <c r="M34" s="23"/>
    </row>
    <row r="35" customFormat="false" ht="32.8" hidden="false" customHeight="false" outlineLevel="0" collapsed="false">
      <c r="A35" s="4" t="s">
        <v>213</v>
      </c>
      <c r="B35" s="5" t="s">
        <v>65</v>
      </c>
      <c r="C35" s="5" t="s">
        <v>214</v>
      </c>
      <c r="D35" s="10" t="s">
        <v>157</v>
      </c>
      <c r="E35" s="10" t="n">
        <v>1</v>
      </c>
      <c r="F35" s="10" t="s">
        <v>109</v>
      </c>
      <c r="G35" s="5" t="s">
        <v>215</v>
      </c>
      <c r="H35" s="5" t="s">
        <v>216</v>
      </c>
      <c r="I35" s="22" t="s">
        <v>14</v>
      </c>
      <c r="J35" s="21"/>
      <c r="K35" s="21"/>
      <c r="L35" s="21"/>
      <c r="M35" s="23"/>
    </row>
    <row r="36" customFormat="false" ht="22.35" hidden="false" customHeight="false" outlineLevel="0" collapsed="false">
      <c r="A36" s="4" t="s">
        <v>213</v>
      </c>
      <c r="B36" s="5" t="s">
        <v>65</v>
      </c>
      <c r="C36" s="5" t="s">
        <v>214</v>
      </c>
      <c r="D36" s="10" t="s">
        <v>157</v>
      </c>
      <c r="E36" s="10" t="n">
        <v>2</v>
      </c>
      <c r="F36" s="10" t="s">
        <v>109</v>
      </c>
      <c r="G36" s="5" t="s">
        <v>217</v>
      </c>
      <c r="H36" s="5" t="s">
        <v>218</v>
      </c>
      <c r="I36" s="22" t="s">
        <v>14</v>
      </c>
      <c r="J36" s="21"/>
      <c r="K36" s="21"/>
      <c r="L36" s="21"/>
      <c r="M36" s="23"/>
    </row>
    <row r="37" customFormat="false" ht="32.8" hidden="false" customHeight="false" outlineLevel="0" collapsed="false">
      <c r="A37" s="4" t="s">
        <v>213</v>
      </c>
      <c r="B37" s="5" t="s">
        <v>65</v>
      </c>
      <c r="C37" s="5" t="s">
        <v>214</v>
      </c>
      <c r="D37" s="10" t="s">
        <v>157</v>
      </c>
      <c r="E37" s="10" t="n">
        <v>3</v>
      </c>
      <c r="F37" s="10" t="s">
        <v>101</v>
      </c>
      <c r="G37" s="5" t="s">
        <v>219</v>
      </c>
      <c r="H37" s="5" t="s">
        <v>220</v>
      </c>
      <c r="I37" s="22" t="s">
        <v>14</v>
      </c>
      <c r="J37" s="21"/>
      <c r="K37" s="21"/>
      <c r="L37" s="21"/>
      <c r="M37" s="23"/>
    </row>
    <row r="38" customFormat="false" ht="22.35" hidden="false" customHeight="false" outlineLevel="0" collapsed="false">
      <c r="A38" s="4" t="s">
        <v>213</v>
      </c>
      <c r="B38" s="5" t="s">
        <v>65</v>
      </c>
      <c r="C38" s="5" t="s">
        <v>214</v>
      </c>
      <c r="D38" s="10" t="s">
        <v>157</v>
      </c>
      <c r="E38" s="10" t="n">
        <v>4</v>
      </c>
      <c r="F38" s="10" t="s">
        <v>112</v>
      </c>
      <c r="G38" s="5" t="s">
        <v>221</v>
      </c>
      <c r="H38" s="5" t="s">
        <v>222</v>
      </c>
      <c r="I38" s="22" t="s">
        <v>14</v>
      </c>
      <c r="J38" s="21"/>
      <c r="K38" s="21"/>
      <c r="L38" s="21"/>
      <c r="M38" s="23"/>
    </row>
    <row r="39" customFormat="false" ht="22.35" hidden="false" customHeight="false" outlineLevel="0" collapsed="false">
      <c r="A39" s="4" t="s">
        <v>213</v>
      </c>
      <c r="B39" s="5" t="s">
        <v>65</v>
      </c>
      <c r="C39" s="5" t="s">
        <v>214</v>
      </c>
      <c r="D39" s="10" t="s">
        <v>157</v>
      </c>
      <c r="E39" s="10" t="n">
        <v>5</v>
      </c>
      <c r="F39" s="10" t="s">
        <v>98</v>
      </c>
      <c r="G39" s="5" t="s">
        <v>223</v>
      </c>
      <c r="H39" s="5" t="s">
        <v>224</v>
      </c>
      <c r="I39" s="22" t="s">
        <v>14</v>
      </c>
      <c r="J39" s="21"/>
      <c r="K39" s="21"/>
      <c r="L39" s="21"/>
      <c r="M39" s="23"/>
    </row>
    <row r="40" customFormat="false" ht="22.35" hidden="false" customHeight="false" outlineLevel="0" collapsed="false">
      <c r="A40" s="4" t="s">
        <v>225</v>
      </c>
      <c r="B40" s="5" t="s">
        <v>65</v>
      </c>
      <c r="C40" s="5" t="s">
        <v>226</v>
      </c>
      <c r="D40" s="10" t="s">
        <v>227</v>
      </c>
      <c r="E40" s="10" t="n">
        <v>1</v>
      </c>
      <c r="F40" s="10" t="s">
        <v>105</v>
      </c>
      <c r="G40" s="5" t="s">
        <v>228</v>
      </c>
      <c r="H40" s="5" t="s">
        <v>229</v>
      </c>
      <c r="I40" s="22" t="s">
        <v>14</v>
      </c>
      <c r="J40" s="21"/>
      <c r="K40" s="21"/>
      <c r="L40" s="21"/>
      <c r="M40" s="23"/>
    </row>
    <row r="41" customFormat="false" ht="22.35" hidden="false" customHeight="false" outlineLevel="0" collapsed="false">
      <c r="A41" s="4" t="s">
        <v>225</v>
      </c>
      <c r="B41" s="5" t="s">
        <v>65</v>
      </c>
      <c r="C41" s="5" t="s">
        <v>226</v>
      </c>
      <c r="D41" s="10" t="s">
        <v>227</v>
      </c>
      <c r="E41" s="10" t="n">
        <v>2</v>
      </c>
      <c r="F41" s="10" t="s">
        <v>105</v>
      </c>
      <c r="G41" s="5" t="s">
        <v>230</v>
      </c>
      <c r="H41" s="5" t="s">
        <v>231</v>
      </c>
      <c r="I41" s="22" t="s">
        <v>14</v>
      </c>
      <c r="J41" s="21"/>
      <c r="K41" s="21"/>
      <c r="L41" s="21"/>
      <c r="M41" s="23"/>
    </row>
    <row r="42" customFormat="false" ht="22.35" hidden="false" customHeight="false" outlineLevel="0" collapsed="false">
      <c r="A42" s="4" t="s">
        <v>225</v>
      </c>
      <c r="B42" s="5" t="s">
        <v>65</v>
      </c>
      <c r="C42" s="5" t="s">
        <v>226</v>
      </c>
      <c r="D42" s="10" t="s">
        <v>227</v>
      </c>
      <c r="E42" s="10" t="n">
        <v>3</v>
      </c>
      <c r="F42" s="10" t="s">
        <v>105</v>
      </c>
      <c r="G42" s="5" t="s">
        <v>232</v>
      </c>
      <c r="H42" s="5" t="s">
        <v>233</v>
      </c>
      <c r="I42" s="22" t="s">
        <v>14</v>
      </c>
      <c r="J42" s="21"/>
      <c r="K42" s="21"/>
      <c r="L42" s="21"/>
      <c r="M42" s="23"/>
    </row>
    <row r="43" customFormat="false" ht="22.35" hidden="false" customHeight="false" outlineLevel="0" collapsed="false">
      <c r="A43" s="4" t="s">
        <v>225</v>
      </c>
      <c r="B43" s="5" t="s">
        <v>65</v>
      </c>
      <c r="C43" s="5" t="s">
        <v>226</v>
      </c>
      <c r="D43" s="10" t="s">
        <v>227</v>
      </c>
      <c r="E43" s="10" t="n">
        <v>4</v>
      </c>
      <c r="F43" s="10" t="s">
        <v>98</v>
      </c>
      <c r="G43" s="5" t="s">
        <v>234</v>
      </c>
      <c r="H43" s="5" t="s">
        <v>235</v>
      </c>
      <c r="I43" s="22" t="s">
        <v>14</v>
      </c>
      <c r="J43" s="21"/>
      <c r="K43" s="21"/>
      <c r="L43" s="21"/>
      <c r="M43" s="23"/>
    </row>
    <row r="44" customFormat="false" ht="22.35" hidden="false" customHeight="false" outlineLevel="0" collapsed="false">
      <c r="A44" s="4" t="s">
        <v>236</v>
      </c>
      <c r="B44" s="5" t="s">
        <v>65</v>
      </c>
      <c r="C44" s="5" t="s">
        <v>237</v>
      </c>
      <c r="D44" s="10" t="s">
        <v>138</v>
      </c>
      <c r="E44" s="10" t="n">
        <v>1</v>
      </c>
      <c r="F44" s="10" t="s">
        <v>101</v>
      </c>
      <c r="G44" s="5" t="s">
        <v>238</v>
      </c>
      <c r="H44" s="5" t="s">
        <v>121</v>
      </c>
      <c r="I44" s="22" t="s">
        <v>14</v>
      </c>
      <c r="J44" s="21"/>
      <c r="K44" s="21"/>
      <c r="L44" s="21"/>
      <c r="M44" s="23"/>
    </row>
    <row r="45" customFormat="false" ht="22.35" hidden="false" customHeight="false" outlineLevel="0" collapsed="false">
      <c r="A45" s="4" t="s">
        <v>236</v>
      </c>
      <c r="B45" s="5" t="s">
        <v>65</v>
      </c>
      <c r="C45" s="5" t="s">
        <v>237</v>
      </c>
      <c r="D45" s="10" t="s">
        <v>138</v>
      </c>
      <c r="E45" s="10" t="n">
        <v>2</v>
      </c>
      <c r="F45" s="10" t="s">
        <v>109</v>
      </c>
      <c r="G45" s="5" t="s">
        <v>239</v>
      </c>
      <c r="H45" s="5" t="s">
        <v>240</v>
      </c>
      <c r="I45" s="22" t="s">
        <v>14</v>
      </c>
      <c r="J45" s="21"/>
      <c r="K45" s="21"/>
      <c r="L45" s="21"/>
      <c r="M45" s="23"/>
    </row>
    <row r="46" customFormat="false" ht="22.35" hidden="false" customHeight="false" outlineLevel="0" collapsed="false">
      <c r="A46" s="4" t="s">
        <v>236</v>
      </c>
      <c r="B46" s="5" t="s">
        <v>65</v>
      </c>
      <c r="C46" s="5" t="s">
        <v>237</v>
      </c>
      <c r="D46" s="10" t="s">
        <v>138</v>
      </c>
      <c r="E46" s="10" t="n">
        <v>3</v>
      </c>
      <c r="F46" s="10" t="s">
        <v>101</v>
      </c>
      <c r="G46" s="5" t="s">
        <v>241</v>
      </c>
      <c r="H46" s="5" t="s">
        <v>242</v>
      </c>
      <c r="I46" s="22" t="s">
        <v>14</v>
      </c>
      <c r="J46" s="21"/>
      <c r="K46" s="21"/>
      <c r="L46" s="21"/>
      <c r="M46" s="23"/>
    </row>
    <row r="47" customFormat="false" ht="22.35" hidden="false" customHeight="false" outlineLevel="0" collapsed="false">
      <c r="A47" s="4" t="s">
        <v>236</v>
      </c>
      <c r="B47" s="5" t="s">
        <v>65</v>
      </c>
      <c r="C47" s="5" t="s">
        <v>237</v>
      </c>
      <c r="D47" s="10" t="s">
        <v>138</v>
      </c>
      <c r="E47" s="10" t="n">
        <v>4</v>
      </c>
      <c r="F47" s="10" t="s">
        <v>115</v>
      </c>
      <c r="G47" s="5" t="s">
        <v>243</v>
      </c>
      <c r="H47" s="5" t="s">
        <v>244</v>
      </c>
      <c r="I47" s="22" t="s">
        <v>14</v>
      </c>
      <c r="J47" s="21"/>
      <c r="K47" s="21"/>
      <c r="L47" s="21"/>
      <c r="M47" s="23"/>
    </row>
    <row r="48" customFormat="false" ht="32.8" hidden="false" customHeight="false" outlineLevel="0" collapsed="false">
      <c r="A48" s="4" t="s">
        <v>236</v>
      </c>
      <c r="B48" s="5" t="s">
        <v>65</v>
      </c>
      <c r="C48" s="5" t="s">
        <v>237</v>
      </c>
      <c r="D48" s="10" t="s">
        <v>138</v>
      </c>
      <c r="E48" s="10" t="n">
        <v>5</v>
      </c>
      <c r="F48" s="10" t="s">
        <v>101</v>
      </c>
      <c r="G48" s="5" t="s">
        <v>245</v>
      </c>
      <c r="H48" s="5" t="s">
        <v>246</v>
      </c>
      <c r="I48" s="22" t="s">
        <v>14</v>
      </c>
      <c r="J48" s="21"/>
      <c r="K48" s="21"/>
      <c r="L48" s="21"/>
      <c r="M48" s="23"/>
    </row>
    <row r="49" customFormat="false" ht="22.35" hidden="false" customHeight="false" outlineLevel="0" collapsed="false">
      <c r="A49" s="4" t="s">
        <v>247</v>
      </c>
      <c r="B49" s="5" t="s">
        <v>66</v>
      </c>
      <c r="C49" s="5" t="s">
        <v>248</v>
      </c>
      <c r="D49" s="10" t="s">
        <v>138</v>
      </c>
      <c r="E49" s="10" t="n">
        <v>1</v>
      </c>
      <c r="F49" s="10" t="s">
        <v>101</v>
      </c>
      <c r="G49" s="5" t="s">
        <v>249</v>
      </c>
      <c r="H49" s="5" t="s">
        <v>250</v>
      </c>
      <c r="I49" s="22" t="s">
        <v>14</v>
      </c>
      <c r="J49" s="21"/>
      <c r="K49" s="21"/>
      <c r="L49" s="21"/>
      <c r="M49" s="23"/>
    </row>
    <row r="50" customFormat="false" ht="32.8" hidden="false" customHeight="false" outlineLevel="0" collapsed="false">
      <c r="A50" s="4" t="s">
        <v>247</v>
      </c>
      <c r="B50" s="5" t="s">
        <v>66</v>
      </c>
      <c r="C50" s="5" t="s">
        <v>248</v>
      </c>
      <c r="D50" s="10" t="s">
        <v>138</v>
      </c>
      <c r="E50" s="10" t="n">
        <v>2</v>
      </c>
      <c r="F50" s="10" t="s">
        <v>105</v>
      </c>
      <c r="G50" s="5" t="s">
        <v>251</v>
      </c>
      <c r="H50" s="5" t="s">
        <v>252</v>
      </c>
      <c r="I50" s="22" t="s">
        <v>14</v>
      </c>
      <c r="J50" s="21"/>
      <c r="K50" s="21"/>
      <c r="L50" s="21"/>
      <c r="M50" s="23"/>
    </row>
    <row r="51" customFormat="false" ht="22.35" hidden="false" customHeight="false" outlineLevel="0" collapsed="false">
      <c r="A51" s="4" t="s">
        <v>247</v>
      </c>
      <c r="B51" s="5" t="s">
        <v>66</v>
      </c>
      <c r="C51" s="5" t="s">
        <v>248</v>
      </c>
      <c r="D51" s="10" t="s">
        <v>138</v>
      </c>
      <c r="E51" s="10" t="n">
        <v>3</v>
      </c>
      <c r="F51" s="10" t="s">
        <v>105</v>
      </c>
      <c r="G51" s="5" t="s">
        <v>253</v>
      </c>
      <c r="H51" s="5" t="s">
        <v>254</v>
      </c>
      <c r="I51" s="22" t="s">
        <v>14</v>
      </c>
      <c r="J51" s="21"/>
      <c r="K51" s="21"/>
      <c r="L51" s="21"/>
      <c r="M51" s="23"/>
    </row>
    <row r="52" customFormat="false" ht="22.35" hidden="false" customHeight="false" outlineLevel="0" collapsed="false">
      <c r="A52" s="4" t="s">
        <v>247</v>
      </c>
      <c r="B52" s="5" t="s">
        <v>66</v>
      </c>
      <c r="C52" s="5" t="s">
        <v>248</v>
      </c>
      <c r="D52" s="10" t="s">
        <v>138</v>
      </c>
      <c r="E52" s="10" t="n">
        <v>4</v>
      </c>
      <c r="F52" s="10" t="s">
        <v>105</v>
      </c>
      <c r="G52" s="5" t="s">
        <v>255</v>
      </c>
      <c r="H52" s="5" t="s">
        <v>256</v>
      </c>
      <c r="I52" s="22" t="s">
        <v>14</v>
      </c>
      <c r="J52" s="21"/>
      <c r="K52" s="21"/>
      <c r="L52" s="21"/>
      <c r="M52" s="23"/>
    </row>
    <row r="53" customFormat="false" ht="22.35" hidden="false" customHeight="false" outlineLevel="0" collapsed="false">
      <c r="A53" s="4" t="s">
        <v>247</v>
      </c>
      <c r="B53" s="5" t="s">
        <v>66</v>
      </c>
      <c r="C53" s="5" t="s">
        <v>248</v>
      </c>
      <c r="D53" s="10" t="s">
        <v>138</v>
      </c>
      <c r="E53" s="10" t="n">
        <v>5</v>
      </c>
      <c r="F53" s="10" t="s">
        <v>112</v>
      </c>
      <c r="G53" s="5" t="s">
        <v>257</v>
      </c>
      <c r="H53" s="5" t="s">
        <v>258</v>
      </c>
      <c r="I53" s="22" t="s">
        <v>14</v>
      </c>
      <c r="J53" s="21"/>
      <c r="K53" s="21"/>
      <c r="L53" s="21"/>
      <c r="M53" s="23"/>
    </row>
    <row r="54" customFormat="false" ht="32.8" hidden="false" customHeight="false" outlineLevel="0" collapsed="false">
      <c r="A54" s="4" t="s">
        <v>259</v>
      </c>
      <c r="B54" s="5" t="s">
        <v>66</v>
      </c>
      <c r="C54" s="5" t="s">
        <v>260</v>
      </c>
      <c r="D54" s="10" t="s">
        <v>138</v>
      </c>
      <c r="E54" s="10" t="n">
        <v>1</v>
      </c>
      <c r="F54" s="10" t="s">
        <v>98</v>
      </c>
      <c r="G54" s="5" t="s">
        <v>261</v>
      </c>
      <c r="H54" s="5" t="s">
        <v>262</v>
      </c>
      <c r="I54" s="22" t="s">
        <v>14</v>
      </c>
      <c r="J54" s="21"/>
      <c r="K54" s="21"/>
      <c r="L54" s="21"/>
      <c r="M54" s="23"/>
    </row>
    <row r="55" customFormat="false" ht="32.8" hidden="false" customHeight="false" outlineLevel="0" collapsed="false">
      <c r="A55" s="4" t="s">
        <v>259</v>
      </c>
      <c r="B55" s="5" t="s">
        <v>66</v>
      </c>
      <c r="C55" s="5" t="s">
        <v>260</v>
      </c>
      <c r="D55" s="10" t="s">
        <v>138</v>
      </c>
      <c r="E55" s="10" t="n">
        <v>2</v>
      </c>
      <c r="F55" s="10" t="s">
        <v>101</v>
      </c>
      <c r="G55" s="5" t="s">
        <v>263</v>
      </c>
      <c r="H55" s="5" t="s">
        <v>264</v>
      </c>
      <c r="I55" s="22" t="s">
        <v>14</v>
      </c>
      <c r="J55" s="21"/>
      <c r="K55" s="21"/>
      <c r="L55" s="21"/>
      <c r="M55" s="23"/>
    </row>
    <row r="56" customFormat="false" ht="22.35" hidden="false" customHeight="false" outlineLevel="0" collapsed="false">
      <c r="A56" s="4" t="s">
        <v>259</v>
      </c>
      <c r="B56" s="5" t="s">
        <v>66</v>
      </c>
      <c r="C56" s="5" t="s">
        <v>260</v>
      </c>
      <c r="D56" s="10" t="s">
        <v>138</v>
      </c>
      <c r="E56" s="10" t="n">
        <v>3</v>
      </c>
      <c r="F56" s="10" t="s">
        <v>101</v>
      </c>
      <c r="G56" s="5" t="s">
        <v>265</v>
      </c>
      <c r="H56" s="5" t="s">
        <v>266</v>
      </c>
      <c r="I56" s="22" t="s">
        <v>14</v>
      </c>
      <c r="J56" s="21"/>
      <c r="K56" s="21"/>
      <c r="L56" s="21"/>
      <c r="M56" s="23"/>
    </row>
    <row r="57" customFormat="false" ht="22.35" hidden="false" customHeight="false" outlineLevel="0" collapsed="false">
      <c r="A57" s="4" t="s">
        <v>259</v>
      </c>
      <c r="B57" s="5" t="s">
        <v>66</v>
      </c>
      <c r="C57" s="5" t="s">
        <v>260</v>
      </c>
      <c r="D57" s="10" t="s">
        <v>138</v>
      </c>
      <c r="E57" s="10" t="n">
        <v>4</v>
      </c>
      <c r="F57" s="10" t="s">
        <v>98</v>
      </c>
      <c r="G57" s="5" t="s">
        <v>267</v>
      </c>
      <c r="H57" s="5" t="s">
        <v>268</v>
      </c>
      <c r="I57" s="22" t="s">
        <v>14</v>
      </c>
      <c r="J57" s="21"/>
      <c r="K57" s="21"/>
      <c r="L57" s="21"/>
      <c r="M57" s="23"/>
    </row>
    <row r="58" customFormat="false" ht="15" hidden="false" customHeight="false" outlineLevel="0" collapsed="false">
      <c r="A58" s="4" t="s">
        <v>259</v>
      </c>
      <c r="B58" s="5" t="s">
        <v>66</v>
      </c>
      <c r="C58" s="5" t="s">
        <v>260</v>
      </c>
      <c r="D58" s="10" t="s">
        <v>138</v>
      </c>
      <c r="E58" s="10" t="n">
        <v>5</v>
      </c>
      <c r="F58" s="10" t="s">
        <v>98</v>
      </c>
      <c r="G58" s="5" t="s">
        <v>269</v>
      </c>
      <c r="H58" s="5" t="s">
        <v>270</v>
      </c>
      <c r="I58" s="22" t="s">
        <v>14</v>
      </c>
      <c r="J58" s="21"/>
      <c r="K58" s="21"/>
      <c r="L58" s="21"/>
      <c r="M58" s="23"/>
    </row>
    <row r="59" customFormat="false" ht="43.25" hidden="false" customHeight="false" outlineLevel="0" collapsed="false">
      <c r="A59" s="4" t="s">
        <v>271</v>
      </c>
      <c r="B59" s="5" t="s">
        <v>66</v>
      </c>
      <c r="C59" s="5" t="s">
        <v>272</v>
      </c>
      <c r="D59" s="10" t="s">
        <v>157</v>
      </c>
      <c r="E59" s="10" t="n">
        <v>1</v>
      </c>
      <c r="F59" s="10" t="s">
        <v>109</v>
      </c>
      <c r="G59" s="5" t="s">
        <v>273</v>
      </c>
      <c r="H59" s="5" t="s">
        <v>274</v>
      </c>
      <c r="I59" s="22" t="s">
        <v>14</v>
      </c>
      <c r="J59" s="21"/>
      <c r="K59" s="21"/>
      <c r="L59" s="21"/>
      <c r="M59" s="23"/>
    </row>
    <row r="60" customFormat="false" ht="22.35" hidden="false" customHeight="false" outlineLevel="0" collapsed="false">
      <c r="A60" s="4" t="s">
        <v>271</v>
      </c>
      <c r="B60" s="5" t="s">
        <v>66</v>
      </c>
      <c r="C60" s="5" t="s">
        <v>272</v>
      </c>
      <c r="D60" s="10" t="s">
        <v>157</v>
      </c>
      <c r="E60" s="10" t="n">
        <v>2</v>
      </c>
      <c r="F60" s="10" t="s">
        <v>98</v>
      </c>
      <c r="G60" s="5" t="s">
        <v>275</v>
      </c>
      <c r="H60" s="5" t="s">
        <v>276</v>
      </c>
      <c r="I60" s="22" t="s">
        <v>14</v>
      </c>
      <c r="J60" s="21"/>
      <c r="K60" s="21"/>
      <c r="L60" s="21"/>
      <c r="M60" s="23"/>
    </row>
    <row r="61" customFormat="false" ht="22.35" hidden="false" customHeight="false" outlineLevel="0" collapsed="false">
      <c r="A61" s="4" t="s">
        <v>271</v>
      </c>
      <c r="B61" s="5" t="s">
        <v>66</v>
      </c>
      <c r="C61" s="5" t="s">
        <v>272</v>
      </c>
      <c r="D61" s="10" t="s">
        <v>157</v>
      </c>
      <c r="E61" s="10" t="n">
        <v>3</v>
      </c>
      <c r="F61" s="10" t="s">
        <v>112</v>
      </c>
      <c r="G61" s="5" t="s">
        <v>277</v>
      </c>
      <c r="H61" s="5" t="s">
        <v>278</v>
      </c>
      <c r="I61" s="22" t="s">
        <v>14</v>
      </c>
      <c r="J61" s="21"/>
      <c r="K61" s="21"/>
      <c r="L61" s="21"/>
      <c r="M61" s="23"/>
    </row>
    <row r="62" customFormat="false" ht="22.35" hidden="false" customHeight="false" outlineLevel="0" collapsed="false">
      <c r="A62" s="4" t="s">
        <v>271</v>
      </c>
      <c r="B62" s="5" t="s">
        <v>66</v>
      </c>
      <c r="C62" s="5" t="s">
        <v>272</v>
      </c>
      <c r="D62" s="10" t="s">
        <v>157</v>
      </c>
      <c r="E62" s="10" t="n">
        <v>4</v>
      </c>
      <c r="F62" s="10" t="s">
        <v>98</v>
      </c>
      <c r="G62" s="5" t="s">
        <v>279</v>
      </c>
      <c r="H62" s="5" t="s">
        <v>280</v>
      </c>
      <c r="I62" s="22" t="s">
        <v>14</v>
      </c>
      <c r="J62" s="21"/>
      <c r="K62" s="21"/>
      <c r="L62" s="21"/>
      <c r="M62" s="23"/>
    </row>
    <row r="63" customFormat="false" ht="22.35" hidden="false" customHeight="false" outlineLevel="0" collapsed="false">
      <c r="A63" s="4" t="s">
        <v>271</v>
      </c>
      <c r="B63" s="5" t="s">
        <v>66</v>
      </c>
      <c r="C63" s="5" t="s">
        <v>272</v>
      </c>
      <c r="D63" s="10" t="s">
        <v>157</v>
      </c>
      <c r="E63" s="10" t="n">
        <v>5</v>
      </c>
      <c r="F63" s="10" t="s">
        <v>98</v>
      </c>
      <c r="G63" s="5" t="s">
        <v>281</v>
      </c>
      <c r="H63" s="5" t="s">
        <v>282</v>
      </c>
      <c r="I63" s="22" t="s">
        <v>14</v>
      </c>
      <c r="J63" s="21"/>
      <c r="K63" s="21"/>
      <c r="L63" s="21"/>
      <c r="M63" s="23"/>
    </row>
    <row r="64" customFormat="false" ht="22.35" hidden="false" customHeight="false" outlineLevel="0" collapsed="false">
      <c r="A64" s="4" t="s">
        <v>271</v>
      </c>
      <c r="B64" s="5" t="s">
        <v>66</v>
      </c>
      <c r="C64" s="5" t="s">
        <v>272</v>
      </c>
      <c r="D64" s="10" t="s">
        <v>157</v>
      </c>
      <c r="E64" s="10" t="n">
        <v>6</v>
      </c>
      <c r="F64" s="10" t="s">
        <v>98</v>
      </c>
      <c r="G64" s="5" t="s">
        <v>283</v>
      </c>
      <c r="H64" s="5" t="s">
        <v>284</v>
      </c>
      <c r="I64" s="22" t="s">
        <v>14</v>
      </c>
      <c r="J64" s="21"/>
      <c r="K64" s="21"/>
      <c r="L64" s="21"/>
      <c r="M64" s="23"/>
    </row>
    <row r="65" customFormat="false" ht="22.35" hidden="false" customHeight="false" outlineLevel="0" collapsed="false">
      <c r="A65" s="4" t="s">
        <v>271</v>
      </c>
      <c r="B65" s="5" t="s">
        <v>66</v>
      </c>
      <c r="C65" s="5" t="s">
        <v>272</v>
      </c>
      <c r="D65" s="10" t="s">
        <v>157</v>
      </c>
      <c r="E65" s="10" t="n">
        <v>7</v>
      </c>
      <c r="F65" s="10" t="s">
        <v>109</v>
      </c>
      <c r="G65" s="5" t="s">
        <v>285</v>
      </c>
      <c r="H65" s="5" t="s">
        <v>286</v>
      </c>
      <c r="I65" s="22" t="s">
        <v>14</v>
      </c>
      <c r="J65" s="21"/>
      <c r="K65" s="21"/>
      <c r="L65" s="21"/>
      <c r="M65" s="23"/>
    </row>
    <row r="66" customFormat="false" ht="22.35" hidden="false" customHeight="false" outlineLevel="0" collapsed="false">
      <c r="A66" s="4" t="s">
        <v>287</v>
      </c>
      <c r="B66" s="5" t="s">
        <v>66</v>
      </c>
      <c r="C66" s="5" t="s">
        <v>288</v>
      </c>
      <c r="D66" s="10" t="s">
        <v>157</v>
      </c>
      <c r="E66" s="10" t="n">
        <v>1</v>
      </c>
      <c r="F66" s="10" t="s">
        <v>101</v>
      </c>
      <c r="G66" s="5" t="s">
        <v>289</v>
      </c>
      <c r="H66" s="5" t="s">
        <v>290</v>
      </c>
      <c r="I66" s="22" t="s">
        <v>14</v>
      </c>
      <c r="J66" s="21"/>
      <c r="K66" s="21"/>
      <c r="L66" s="21"/>
      <c r="M66" s="23"/>
    </row>
    <row r="67" customFormat="false" ht="22.35" hidden="false" customHeight="false" outlineLevel="0" collapsed="false">
      <c r="A67" s="4" t="s">
        <v>287</v>
      </c>
      <c r="B67" s="5" t="s">
        <v>66</v>
      </c>
      <c r="C67" s="5" t="s">
        <v>288</v>
      </c>
      <c r="D67" s="10" t="s">
        <v>157</v>
      </c>
      <c r="E67" s="10" t="n">
        <v>2</v>
      </c>
      <c r="F67" s="10" t="s">
        <v>291</v>
      </c>
      <c r="G67" s="5" t="s">
        <v>292</v>
      </c>
      <c r="H67" s="5" t="s">
        <v>293</v>
      </c>
      <c r="I67" s="22" t="s">
        <v>14</v>
      </c>
      <c r="J67" s="21"/>
      <c r="K67" s="21"/>
      <c r="L67" s="21"/>
      <c r="M67" s="23"/>
    </row>
    <row r="68" customFormat="false" ht="22.35" hidden="false" customHeight="false" outlineLevel="0" collapsed="false">
      <c r="A68" s="4" t="s">
        <v>287</v>
      </c>
      <c r="B68" s="5" t="s">
        <v>66</v>
      </c>
      <c r="C68" s="5" t="s">
        <v>288</v>
      </c>
      <c r="D68" s="10" t="s">
        <v>157</v>
      </c>
      <c r="E68" s="10" t="n">
        <v>3</v>
      </c>
      <c r="F68" s="10" t="s">
        <v>115</v>
      </c>
      <c r="G68" s="5" t="s">
        <v>294</v>
      </c>
      <c r="H68" s="5" t="s">
        <v>295</v>
      </c>
      <c r="I68" s="22" t="s">
        <v>14</v>
      </c>
      <c r="J68" s="21"/>
      <c r="K68" s="21"/>
      <c r="L68" s="21"/>
      <c r="M68" s="23"/>
    </row>
    <row r="69" customFormat="false" ht="22.35" hidden="false" customHeight="false" outlineLevel="0" collapsed="false">
      <c r="A69" s="4" t="s">
        <v>287</v>
      </c>
      <c r="B69" s="5" t="s">
        <v>66</v>
      </c>
      <c r="C69" s="5" t="s">
        <v>288</v>
      </c>
      <c r="D69" s="10" t="s">
        <v>157</v>
      </c>
      <c r="E69" s="10" t="n">
        <v>4</v>
      </c>
      <c r="F69" s="10" t="s">
        <v>115</v>
      </c>
      <c r="G69" s="5" t="s">
        <v>296</v>
      </c>
      <c r="H69" s="5" t="s">
        <v>297</v>
      </c>
      <c r="I69" s="22" t="s">
        <v>14</v>
      </c>
      <c r="J69" s="21"/>
      <c r="K69" s="21"/>
      <c r="L69" s="21"/>
      <c r="M69" s="23"/>
    </row>
    <row r="70" customFormat="false" ht="22.35" hidden="false" customHeight="false" outlineLevel="0" collapsed="false">
      <c r="A70" s="4" t="s">
        <v>287</v>
      </c>
      <c r="B70" s="5" t="s">
        <v>66</v>
      </c>
      <c r="C70" s="5" t="s">
        <v>288</v>
      </c>
      <c r="D70" s="10" t="s">
        <v>157</v>
      </c>
      <c r="E70" s="10" t="n">
        <v>5</v>
      </c>
      <c r="F70" s="10" t="s">
        <v>298</v>
      </c>
      <c r="G70" s="5" t="s">
        <v>299</v>
      </c>
      <c r="H70" s="5" t="s">
        <v>300</v>
      </c>
      <c r="I70" s="22" t="s">
        <v>14</v>
      </c>
      <c r="J70" s="21"/>
      <c r="K70" s="21"/>
      <c r="L70" s="21"/>
      <c r="M70" s="23"/>
    </row>
    <row r="71" customFormat="false" ht="22.35" hidden="false" customHeight="false" outlineLevel="0" collapsed="false">
      <c r="A71" s="4" t="s">
        <v>287</v>
      </c>
      <c r="B71" s="5" t="s">
        <v>66</v>
      </c>
      <c r="C71" s="5" t="s">
        <v>288</v>
      </c>
      <c r="D71" s="10" t="s">
        <v>157</v>
      </c>
      <c r="E71" s="10" t="n">
        <v>6</v>
      </c>
      <c r="F71" s="10" t="s">
        <v>98</v>
      </c>
      <c r="G71" s="5" t="s">
        <v>301</v>
      </c>
      <c r="H71" s="5" t="s">
        <v>302</v>
      </c>
      <c r="I71" s="22" t="s">
        <v>14</v>
      </c>
      <c r="J71" s="21"/>
      <c r="K71" s="21"/>
      <c r="L71" s="21"/>
      <c r="M71" s="23"/>
    </row>
    <row r="72" customFormat="false" ht="43.25" hidden="false" customHeight="false" outlineLevel="0" collapsed="false">
      <c r="A72" s="4" t="s">
        <v>303</v>
      </c>
      <c r="B72" s="5" t="s">
        <v>67</v>
      </c>
      <c r="C72" s="5" t="s">
        <v>304</v>
      </c>
      <c r="D72" s="10" t="s">
        <v>138</v>
      </c>
      <c r="E72" s="10" t="n">
        <v>1</v>
      </c>
      <c r="F72" s="10" t="s">
        <v>101</v>
      </c>
      <c r="G72" s="5" t="s">
        <v>305</v>
      </c>
      <c r="H72" s="5" t="s">
        <v>306</v>
      </c>
      <c r="I72" s="22" t="s">
        <v>14</v>
      </c>
      <c r="J72" s="21"/>
      <c r="K72" s="21"/>
      <c r="L72" s="21"/>
      <c r="M72" s="23"/>
    </row>
    <row r="73" customFormat="false" ht="22.35" hidden="false" customHeight="false" outlineLevel="0" collapsed="false">
      <c r="A73" s="4" t="s">
        <v>303</v>
      </c>
      <c r="B73" s="5" t="s">
        <v>67</v>
      </c>
      <c r="C73" s="5" t="s">
        <v>304</v>
      </c>
      <c r="D73" s="10" t="s">
        <v>138</v>
      </c>
      <c r="E73" s="10" t="n">
        <v>2</v>
      </c>
      <c r="F73" s="10" t="s">
        <v>101</v>
      </c>
      <c r="G73" s="5" t="s">
        <v>307</v>
      </c>
      <c r="H73" s="5" t="s">
        <v>308</v>
      </c>
      <c r="I73" s="22" t="s">
        <v>14</v>
      </c>
      <c r="J73" s="21"/>
      <c r="K73" s="21"/>
      <c r="L73" s="21"/>
      <c r="M73" s="23"/>
    </row>
    <row r="74" customFormat="false" ht="22.35" hidden="false" customHeight="false" outlineLevel="0" collapsed="false">
      <c r="A74" s="4" t="s">
        <v>303</v>
      </c>
      <c r="B74" s="5" t="s">
        <v>67</v>
      </c>
      <c r="C74" s="5" t="s">
        <v>304</v>
      </c>
      <c r="D74" s="10" t="s">
        <v>138</v>
      </c>
      <c r="E74" s="10" t="n">
        <v>3</v>
      </c>
      <c r="F74" s="10" t="s">
        <v>101</v>
      </c>
      <c r="G74" s="5" t="s">
        <v>309</v>
      </c>
      <c r="H74" s="5" t="s">
        <v>310</v>
      </c>
      <c r="I74" s="22" t="s">
        <v>14</v>
      </c>
      <c r="J74" s="21"/>
      <c r="K74" s="21"/>
      <c r="L74" s="21"/>
      <c r="M74" s="23"/>
    </row>
    <row r="75" customFormat="false" ht="22.35" hidden="false" customHeight="false" outlineLevel="0" collapsed="false">
      <c r="A75" s="4" t="s">
        <v>303</v>
      </c>
      <c r="B75" s="5" t="s">
        <v>67</v>
      </c>
      <c r="C75" s="5" t="s">
        <v>304</v>
      </c>
      <c r="D75" s="10" t="s">
        <v>138</v>
      </c>
      <c r="E75" s="10" t="n">
        <v>4</v>
      </c>
      <c r="F75" s="10" t="s">
        <v>101</v>
      </c>
      <c r="G75" s="5" t="s">
        <v>311</v>
      </c>
      <c r="H75" s="5" t="s">
        <v>312</v>
      </c>
      <c r="I75" s="22" t="s">
        <v>14</v>
      </c>
      <c r="J75" s="21"/>
      <c r="K75" s="21"/>
      <c r="L75" s="21"/>
      <c r="M75" s="23"/>
    </row>
    <row r="76" customFormat="false" ht="15" hidden="false" customHeight="false" outlineLevel="0" collapsed="false">
      <c r="A76" s="4" t="s">
        <v>303</v>
      </c>
      <c r="B76" s="5" t="s">
        <v>67</v>
      </c>
      <c r="C76" s="5" t="s">
        <v>304</v>
      </c>
      <c r="D76" s="10" t="s">
        <v>138</v>
      </c>
      <c r="E76" s="10" t="n">
        <v>5</v>
      </c>
      <c r="F76" s="10" t="s">
        <v>101</v>
      </c>
      <c r="G76" s="5" t="s">
        <v>313</v>
      </c>
      <c r="H76" s="5" t="s">
        <v>314</v>
      </c>
      <c r="I76" s="22" t="s">
        <v>14</v>
      </c>
      <c r="J76" s="21"/>
      <c r="K76" s="21"/>
      <c r="L76" s="21"/>
      <c r="M76" s="23"/>
    </row>
    <row r="77" customFormat="false" ht="22.35" hidden="false" customHeight="false" outlineLevel="0" collapsed="false">
      <c r="A77" s="4" t="s">
        <v>315</v>
      </c>
      <c r="B77" s="5" t="s">
        <v>67</v>
      </c>
      <c r="C77" s="5" t="s">
        <v>316</v>
      </c>
      <c r="D77" s="10" t="s">
        <v>157</v>
      </c>
      <c r="E77" s="10" t="n">
        <v>1</v>
      </c>
      <c r="F77" s="10" t="s">
        <v>101</v>
      </c>
      <c r="G77" s="5" t="s">
        <v>317</v>
      </c>
      <c r="H77" s="5" t="s">
        <v>318</v>
      </c>
      <c r="I77" s="22" t="s">
        <v>14</v>
      </c>
      <c r="J77" s="21"/>
      <c r="K77" s="21"/>
      <c r="L77" s="21"/>
      <c r="M77" s="23"/>
    </row>
    <row r="78" customFormat="false" ht="32.8" hidden="false" customHeight="false" outlineLevel="0" collapsed="false">
      <c r="A78" s="4" t="s">
        <v>315</v>
      </c>
      <c r="B78" s="5" t="s">
        <v>67</v>
      </c>
      <c r="C78" s="5" t="s">
        <v>316</v>
      </c>
      <c r="D78" s="10" t="s">
        <v>157</v>
      </c>
      <c r="E78" s="10" t="n">
        <v>2</v>
      </c>
      <c r="F78" s="10" t="s">
        <v>101</v>
      </c>
      <c r="G78" s="5" t="s">
        <v>319</v>
      </c>
      <c r="H78" s="5" t="s">
        <v>320</v>
      </c>
      <c r="I78" s="22" t="s">
        <v>14</v>
      </c>
      <c r="J78" s="21"/>
      <c r="K78" s="21"/>
      <c r="L78" s="21"/>
      <c r="M78" s="23"/>
    </row>
    <row r="79" customFormat="false" ht="22.35" hidden="false" customHeight="false" outlineLevel="0" collapsed="false">
      <c r="A79" s="4" t="s">
        <v>315</v>
      </c>
      <c r="B79" s="5" t="s">
        <v>67</v>
      </c>
      <c r="C79" s="5" t="s">
        <v>316</v>
      </c>
      <c r="D79" s="10" t="s">
        <v>157</v>
      </c>
      <c r="E79" s="10" t="n">
        <v>3</v>
      </c>
      <c r="F79" s="10" t="s">
        <v>101</v>
      </c>
      <c r="G79" s="5" t="s">
        <v>321</v>
      </c>
      <c r="H79" s="5" t="s">
        <v>322</v>
      </c>
      <c r="I79" s="22" t="s">
        <v>14</v>
      </c>
      <c r="J79" s="21"/>
      <c r="K79" s="21"/>
      <c r="L79" s="21"/>
      <c r="M79" s="23"/>
    </row>
    <row r="80" customFormat="false" ht="22.35" hidden="false" customHeight="false" outlineLevel="0" collapsed="false">
      <c r="A80" s="4" t="s">
        <v>315</v>
      </c>
      <c r="B80" s="5" t="s">
        <v>67</v>
      </c>
      <c r="C80" s="5" t="s">
        <v>316</v>
      </c>
      <c r="D80" s="10" t="s">
        <v>157</v>
      </c>
      <c r="E80" s="10" t="n">
        <v>4</v>
      </c>
      <c r="F80" s="10" t="s">
        <v>98</v>
      </c>
      <c r="G80" s="5" t="s">
        <v>323</v>
      </c>
      <c r="H80" s="5" t="s">
        <v>324</v>
      </c>
      <c r="I80" s="22" t="s">
        <v>14</v>
      </c>
      <c r="J80" s="21"/>
      <c r="K80" s="21"/>
      <c r="L80" s="21"/>
      <c r="M80" s="23"/>
    </row>
    <row r="81" customFormat="false" ht="22.35" hidden="false" customHeight="false" outlineLevel="0" collapsed="false">
      <c r="A81" s="4" t="s">
        <v>325</v>
      </c>
      <c r="B81" s="5" t="s">
        <v>67</v>
      </c>
      <c r="C81" s="5" t="s">
        <v>326</v>
      </c>
      <c r="D81" s="10" t="s">
        <v>138</v>
      </c>
      <c r="E81" s="10" t="n">
        <v>1</v>
      </c>
      <c r="F81" s="10" t="s">
        <v>101</v>
      </c>
      <c r="G81" s="5" t="s">
        <v>327</v>
      </c>
      <c r="H81" s="5" t="s">
        <v>328</v>
      </c>
      <c r="I81" s="22" t="s">
        <v>14</v>
      </c>
      <c r="J81" s="21"/>
      <c r="K81" s="21"/>
      <c r="L81" s="21"/>
      <c r="M81" s="23"/>
    </row>
    <row r="82" customFormat="false" ht="22.35" hidden="false" customHeight="false" outlineLevel="0" collapsed="false">
      <c r="A82" s="4" t="s">
        <v>325</v>
      </c>
      <c r="B82" s="5" t="s">
        <v>67</v>
      </c>
      <c r="C82" s="5" t="s">
        <v>326</v>
      </c>
      <c r="D82" s="10" t="s">
        <v>138</v>
      </c>
      <c r="E82" s="10" t="n">
        <v>2</v>
      </c>
      <c r="F82" s="10" t="s">
        <v>101</v>
      </c>
      <c r="G82" s="5" t="s">
        <v>329</v>
      </c>
      <c r="H82" s="5" t="s">
        <v>330</v>
      </c>
      <c r="I82" s="22" t="s">
        <v>14</v>
      </c>
      <c r="J82" s="21"/>
      <c r="K82" s="21"/>
      <c r="L82" s="21"/>
      <c r="M82" s="23"/>
    </row>
    <row r="83" customFormat="false" ht="22.35" hidden="false" customHeight="false" outlineLevel="0" collapsed="false">
      <c r="A83" s="4" t="s">
        <v>325</v>
      </c>
      <c r="B83" s="5" t="s">
        <v>67</v>
      </c>
      <c r="C83" s="5" t="s">
        <v>326</v>
      </c>
      <c r="D83" s="10" t="s">
        <v>138</v>
      </c>
      <c r="E83" s="10" t="n">
        <v>3</v>
      </c>
      <c r="F83" s="10" t="s">
        <v>101</v>
      </c>
      <c r="G83" s="5" t="s">
        <v>331</v>
      </c>
      <c r="H83" s="5" t="s">
        <v>332</v>
      </c>
      <c r="I83" s="22" t="s">
        <v>14</v>
      </c>
      <c r="J83" s="21"/>
      <c r="K83" s="21"/>
      <c r="L83" s="21"/>
      <c r="M83" s="23"/>
    </row>
    <row r="84" customFormat="false" ht="22.35" hidden="false" customHeight="false" outlineLevel="0" collapsed="false">
      <c r="A84" s="4" t="s">
        <v>325</v>
      </c>
      <c r="B84" s="5" t="s">
        <v>67</v>
      </c>
      <c r="C84" s="5" t="s">
        <v>326</v>
      </c>
      <c r="D84" s="10" t="s">
        <v>138</v>
      </c>
      <c r="E84" s="10" t="n">
        <v>4</v>
      </c>
      <c r="F84" s="10" t="s">
        <v>101</v>
      </c>
      <c r="G84" s="5" t="s">
        <v>333</v>
      </c>
      <c r="H84" s="5" t="s">
        <v>334</v>
      </c>
      <c r="I84" s="22" t="s">
        <v>14</v>
      </c>
      <c r="J84" s="21"/>
      <c r="K84" s="21"/>
      <c r="L84" s="21"/>
      <c r="M84" s="23"/>
    </row>
    <row r="85" customFormat="false" ht="22.35" hidden="false" customHeight="false" outlineLevel="0" collapsed="false">
      <c r="A85" s="4" t="s">
        <v>325</v>
      </c>
      <c r="B85" s="5" t="s">
        <v>67</v>
      </c>
      <c r="C85" s="5" t="s">
        <v>326</v>
      </c>
      <c r="D85" s="10" t="s">
        <v>138</v>
      </c>
      <c r="E85" s="10" t="n">
        <v>5</v>
      </c>
      <c r="F85" s="10" t="s">
        <v>101</v>
      </c>
      <c r="G85" s="5" t="s">
        <v>335</v>
      </c>
      <c r="H85" s="5" t="s">
        <v>336</v>
      </c>
      <c r="I85" s="22" t="s">
        <v>14</v>
      </c>
      <c r="J85" s="21"/>
      <c r="K85" s="21"/>
      <c r="L85" s="21"/>
      <c r="M85" s="23"/>
    </row>
    <row r="86" customFormat="false" ht="15" hidden="false" customHeight="false" outlineLevel="0" collapsed="false">
      <c r="A86" s="4" t="s">
        <v>325</v>
      </c>
      <c r="B86" s="5" t="s">
        <v>67</v>
      </c>
      <c r="C86" s="5" t="s">
        <v>326</v>
      </c>
      <c r="D86" s="10" t="s">
        <v>138</v>
      </c>
      <c r="E86" s="10" t="n">
        <v>6</v>
      </c>
      <c r="F86" s="10" t="s">
        <v>101</v>
      </c>
      <c r="G86" s="5" t="s">
        <v>337</v>
      </c>
      <c r="H86" s="5" t="s">
        <v>338</v>
      </c>
      <c r="I86" s="22" t="s">
        <v>14</v>
      </c>
      <c r="J86" s="21"/>
      <c r="K86" s="21"/>
      <c r="L86" s="21"/>
      <c r="M86" s="23"/>
    </row>
    <row r="87" customFormat="false" ht="32.8" hidden="false" customHeight="false" outlineLevel="0" collapsed="false">
      <c r="A87" s="4" t="s">
        <v>325</v>
      </c>
      <c r="B87" s="5" t="s">
        <v>67</v>
      </c>
      <c r="C87" s="5" t="s">
        <v>326</v>
      </c>
      <c r="D87" s="10" t="s">
        <v>138</v>
      </c>
      <c r="E87" s="10" t="n">
        <v>7</v>
      </c>
      <c r="F87" s="10" t="s">
        <v>101</v>
      </c>
      <c r="G87" s="5" t="s">
        <v>339</v>
      </c>
      <c r="H87" s="5" t="s">
        <v>340</v>
      </c>
      <c r="I87" s="22" t="s">
        <v>14</v>
      </c>
      <c r="J87" s="21"/>
      <c r="K87" s="21"/>
      <c r="L87" s="21"/>
      <c r="M87" s="23"/>
    </row>
    <row r="88" customFormat="false" ht="22.35" hidden="false" customHeight="false" outlineLevel="0" collapsed="false">
      <c r="A88" s="4" t="s">
        <v>341</v>
      </c>
      <c r="B88" s="5" t="s">
        <v>67</v>
      </c>
      <c r="C88" s="5" t="s">
        <v>342</v>
      </c>
      <c r="D88" s="10" t="s">
        <v>157</v>
      </c>
      <c r="E88" s="10" t="n">
        <v>1</v>
      </c>
      <c r="F88" s="10" t="s">
        <v>101</v>
      </c>
      <c r="G88" s="5" t="s">
        <v>343</v>
      </c>
      <c r="H88" s="5" t="s">
        <v>344</v>
      </c>
      <c r="I88" s="22" t="s">
        <v>14</v>
      </c>
      <c r="J88" s="21"/>
      <c r="K88" s="21"/>
      <c r="L88" s="21"/>
      <c r="M88" s="23"/>
    </row>
    <row r="89" customFormat="false" ht="22.35" hidden="false" customHeight="false" outlineLevel="0" collapsed="false">
      <c r="A89" s="4" t="s">
        <v>341</v>
      </c>
      <c r="B89" s="5" t="s">
        <v>67</v>
      </c>
      <c r="C89" s="5" t="s">
        <v>342</v>
      </c>
      <c r="D89" s="10" t="s">
        <v>157</v>
      </c>
      <c r="E89" s="10" t="n">
        <v>2</v>
      </c>
      <c r="F89" s="10" t="s">
        <v>101</v>
      </c>
      <c r="G89" s="5" t="s">
        <v>345</v>
      </c>
      <c r="H89" s="5" t="s">
        <v>346</v>
      </c>
      <c r="I89" s="22" t="s">
        <v>14</v>
      </c>
      <c r="J89" s="21"/>
      <c r="K89" s="21"/>
      <c r="L89" s="21"/>
      <c r="M89" s="23"/>
    </row>
    <row r="90" customFormat="false" ht="15" hidden="false" customHeight="false" outlineLevel="0" collapsed="false">
      <c r="A90" s="4" t="s">
        <v>341</v>
      </c>
      <c r="B90" s="5" t="s">
        <v>67</v>
      </c>
      <c r="C90" s="5" t="s">
        <v>342</v>
      </c>
      <c r="D90" s="10" t="s">
        <v>157</v>
      </c>
      <c r="E90" s="10" t="n">
        <v>3</v>
      </c>
      <c r="F90" s="10" t="s">
        <v>101</v>
      </c>
      <c r="G90" s="5" t="s">
        <v>347</v>
      </c>
      <c r="H90" s="5" t="s">
        <v>344</v>
      </c>
      <c r="I90" s="22" t="s">
        <v>14</v>
      </c>
      <c r="J90" s="21"/>
      <c r="K90" s="21"/>
      <c r="L90" s="21"/>
      <c r="M90" s="23"/>
    </row>
    <row r="91" customFormat="false" ht="22.35" hidden="false" customHeight="false" outlineLevel="0" collapsed="false">
      <c r="A91" s="4" t="s">
        <v>341</v>
      </c>
      <c r="B91" s="5" t="s">
        <v>67</v>
      </c>
      <c r="C91" s="5" t="s">
        <v>342</v>
      </c>
      <c r="D91" s="10" t="s">
        <v>157</v>
      </c>
      <c r="E91" s="10" t="n">
        <v>4</v>
      </c>
      <c r="F91" s="10" t="s">
        <v>101</v>
      </c>
      <c r="G91" s="5" t="s">
        <v>348</v>
      </c>
      <c r="H91" s="5" t="s">
        <v>344</v>
      </c>
      <c r="I91" s="22" t="s">
        <v>14</v>
      </c>
      <c r="J91" s="21"/>
      <c r="K91" s="21"/>
      <c r="L91" s="21"/>
      <c r="M91" s="23"/>
    </row>
    <row r="92" customFormat="false" ht="22.35" hidden="false" customHeight="false" outlineLevel="0" collapsed="false">
      <c r="A92" s="4" t="s">
        <v>341</v>
      </c>
      <c r="B92" s="5" t="s">
        <v>67</v>
      </c>
      <c r="C92" s="5" t="s">
        <v>342</v>
      </c>
      <c r="D92" s="10" t="s">
        <v>157</v>
      </c>
      <c r="E92" s="10" t="n">
        <v>5</v>
      </c>
      <c r="F92" s="10" t="s">
        <v>101</v>
      </c>
      <c r="G92" s="5" t="s">
        <v>349</v>
      </c>
      <c r="H92" s="5" t="s">
        <v>346</v>
      </c>
      <c r="I92" s="22" t="s">
        <v>14</v>
      </c>
      <c r="J92" s="21"/>
      <c r="K92" s="21"/>
      <c r="L92" s="21"/>
      <c r="M92" s="23"/>
    </row>
    <row r="93" customFormat="false" ht="32.8" hidden="false" customHeight="false" outlineLevel="0" collapsed="false">
      <c r="A93" s="4" t="s">
        <v>341</v>
      </c>
      <c r="B93" s="5" t="s">
        <v>67</v>
      </c>
      <c r="C93" s="5" t="s">
        <v>342</v>
      </c>
      <c r="D93" s="10" t="s">
        <v>157</v>
      </c>
      <c r="E93" s="10" t="n">
        <v>6</v>
      </c>
      <c r="F93" s="10" t="s">
        <v>350</v>
      </c>
      <c r="G93" s="5" t="s">
        <v>351</v>
      </c>
      <c r="H93" s="5" t="s">
        <v>352</v>
      </c>
      <c r="I93" s="22" t="s">
        <v>14</v>
      </c>
      <c r="J93" s="21"/>
      <c r="K93" s="21"/>
      <c r="L93" s="21"/>
      <c r="M93" s="23"/>
    </row>
    <row r="94" customFormat="false" ht="22.35" hidden="false" customHeight="false" outlineLevel="0" collapsed="false">
      <c r="A94" s="4" t="s">
        <v>353</v>
      </c>
      <c r="B94" s="5" t="s">
        <v>67</v>
      </c>
      <c r="C94" s="5" t="s">
        <v>354</v>
      </c>
      <c r="D94" s="10" t="s">
        <v>157</v>
      </c>
      <c r="E94" s="10" t="n">
        <v>1</v>
      </c>
      <c r="F94" s="10" t="s">
        <v>101</v>
      </c>
      <c r="G94" s="5" t="s">
        <v>355</v>
      </c>
      <c r="H94" s="5" t="s">
        <v>356</v>
      </c>
      <c r="I94" s="22" t="s">
        <v>14</v>
      </c>
      <c r="J94" s="21"/>
      <c r="K94" s="21"/>
      <c r="L94" s="21"/>
      <c r="M94" s="23"/>
    </row>
    <row r="95" customFormat="false" ht="22.35" hidden="false" customHeight="false" outlineLevel="0" collapsed="false">
      <c r="A95" s="4" t="s">
        <v>353</v>
      </c>
      <c r="B95" s="5" t="s">
        <v>67</v>
      </c>
      <c r="C95" s="5" t="s">
        <v>354</v>
      </c>
      <c r="D95" s="10" t="s">
        <v>157</v>
      </c>
      <c r="E95" s="10" t="n">
        <v>2</v>
      </c>
      <c r="F95" s="10" t="s">
        <v>101</v>
      </c>
      <c r="G95" s="5" t="s">
        <v>357</v>
      </c>
      <c r="H95" s="5" t="s">
        <v>358</v>
      </c>
      <c r="I95" s="22" t="s">
        <v>14</v>
      </c>
      <c r="J95" s="21"/>
      <c r="K95" s="21"/>
      <c r="L95" s="21"/>
      <c r="M95" s="23"/>
    </row>
    <row r="96" customFormat="false" ht="22.35" hidden="false" customHeight="false" outlineLevel="0" collapsed="false">
      <c r="A96" s="4" t="s">
        <v>359</v>
      </c>
      <c r="B96" s="5" t="s">
        <v>67</v>
      </c>
      <c r="C96" s="5" t="s">
        <v>360</v>
      </c>
      <c r="D96" s="10" t="s">
        <v>157</v>
      </c>
      <c r="E96" s="10" t="n">
        <v>1</v>
      </c>
      <c r="F96" s="10" t="s">
        <v>101</v>
      </c>
      <c r="G96" s="5" t="s">
        <v>361</v>
      </c>
      <c r="H96" s="5" t="s">
        <v>362</v>
      </c>
      <c r="I96" s="22" t="s">
        <v>14</v>
      </c>
      <c r="J96" s="21"/>
      <c r="K96" s="21"/>
      <c r="L96" s="21"/>
      <c r="M96" s="23"/>
    </row>
    <row r="97" customFormat="false" ht="32.8" hidden="false" customHeight="false" outlineLevel="0" collapsed="false">
      <c r="A97" s="4" t="s">
        <v>359</v>
      </c>
      <c r="B97" s="5" t="s">
        <v>67</v>
      </c>
      <c r="C97" s="5" t="s">
        <v>360</v>
      </c>
      <c r="D97" s="10" t="s">
        <v>157</v>
      </c>
      <c r="E97" s="10" t="n">
        <v>2</v>
      </c>
      <c r="F97" s="10" t="s">
        <v>101</v>
      </c>
      <c r="G97" s="5" t="s">
        <v>363</v>
      </c>
      <c r="H97" s="5" t="s">
        <v>364</v>
      </c>
      <c r="I97" s="22" t="s">
        <v>14</v>
      </c>
      <c r="J97" s="21"/>
      <c r="K97" s="21"/>
      <c r="L97" s="21"/>
      <c r="M97" s="23"/>
    </row>
    <row r="98" customFormat="false" ht="22.35" hidden="false" customHeight="false" outlineLevel="0" collapsed="false">
      <c r="A98" s="4" t="s">
        <v>359</v>
      </c>
      <c r="B98" s="5" t="s">
        <v>67</v>
      </c>
      <c r="C98" s="5" t="s">
        <v>360</v>
      </c>
      <c r="D98" s="10" t="s">
        <v>157</v>
      </c>
      <c r="E98" s="10" t="n">
        <v>3</v>
      </c>
      <c r="F98" s="10" t="s">
        <v>101</v>
      </c>
      <c r="G98" s="5" t="s">
        <v>365</v>
      </c>
      <c r="H98" s="5" t="s">
        <v>366</v>
      </c>
      <c r="I98" s="22" t="s">
        <v>14</v>
      </c>
      <c r="J98" s="21"/>
      <c r="K98" s="21"/>
      <c r="L98" s="21"/>
      <c r="M98" s="23"/>
    </row>
    <row r="99" customFormat="false" ht="22.35" hidden="false" customHeight="false" outlineLevel="0" collapsed="false">
      <c r="A99" s="4" t="s">
        <v>359</v>
      </c>
      <c r="B99" s="5" t="s">
        <v>67</v>
      </c>
      <c r="C99" s="5" t="s">
        <v>360</v>
      </c>
      <c r="D99" s="10" t="s">
        <v>157</v>
      </c>
      <c r="E99" s="10" t="n">
        <v>4</v>
      </c>
      <c r="F99" s="10" t="s">
        <v>105</v>
      </c>
      <c r="G99" s="5" t="s">
        <v>367</v>
      </c>
      <c r="H99" s="5" t="s">
        <v>368</v>
      </c>
      <c r="I99" s="22" t="s">
        <v>14</v>
      </c>
      <c r="J99" s="21"/>
      <c r="K99" s="21"/>
      <c r="L99" s="21"/>
      <c r="M99" s="23"/>
    </row>
    <row r="100" customFormat="false" ht="22.35" hidden="false" customHeight="false" outlineLevel="0" collapsed="false">
      <c r="A100" s="4" t="s">
        <v>359</v>
      </c>
      <c r="B100" s="5" t="s">
        <v>67</v>
      </c>
      <c r="C100" s="5" t="s">
        <v>360</v>
      </c>
      <c r="D100" s="10" t="s">
        <v>157</v>
      </c>
      <c r="E100" s="10" t="n">
        <v>5</v>
      </c>
      <c r="F100" s="10" t="s">
        <v>98</v>
      </c>
      <c r="G100" s="5" t="s">
        <v>369</v>
      </c>
      <c r="H100" s="5" t="s">
        <v>370</v>
      </c>
      <c r="I100" s="22" t="s">
        <v>14</v>
      </c>
      <c r="J100" s="21"/>
      <c r="K100" s="21"/>
      <c r="L100" s="21"/>
      <c r="M100" s="23"/>
    </row>
    <row r="101" customFormat="false" ht="22.35" hidden="false" customHeight="false" outlineLevel="0" collapsed="false">
      <c r="A101" s="4" t="s">
        <v>359</v>
      </c>
      <c r="B101" s="5" t="s">
        <v>67</v>
      </c>
      <c r="C101" s="5" t="s">
        <v>360</v>
      </c>
      <c r="D101" s="10" t="s">
        <v>157</v>
      </c>
      <c r="E101" s="10" t="n">
        <v>6</v>
      </c>
      <c r="F101" s="10" t="s">
        <v>101</v>
      </c>
      <c r="G101" s="5" t="s">
        <v>371</v>
      </c>
      <c r="H101" s="5" t="s">
        <v>372</v>
      </c>
      <c r="I101" s="22" t="s">
        <v>14</v>
      </c>
      <c r="J101" s="21"/>
      <c r="K101" s="21"/>
      <c r="L101" s="21"/>
      <c r="M101" s="23"/>
    </row>
    <row r="102" customFormat="false" ht="15" hidden="false" customHeight="false" outlineLevel="0" collapsed="false">
      <c r="A102" s="4" t="s">
        <v>373</v>
      </c>
      <c r="B102" s="5" t="s">
        <v>67</v>
      </c>
      <c r="C102" s="5" t="s">
        <v>374</v>
      </c>
      <c r="D102" s="10" t="s">
        <v>227</v>
      </c>
      <c r="E102" s="10" t="n">
        <v>1</v>
      </c>
      <c r="F102" s="10" t="s">
        <v>101</v>
      </c>
      <c r="G102" s="5" t="s">
        <v>375</v>
      </c>
      <c r="H102" s="5" t="s">
        <v>376</v>
      </c>
      <c r="I102" s="22" t="s">
        <v>14</v>
      </c>
      <c r="J102" s="21"/>
      <c r="K102" s="21"/>
      <c r="L102" s="21"/>
      <c r="M102" s="23"/>
    </row>
    <row r="103" customFormat="false" ht="15" hidden="false" customHeight="false" outlineLevel="0" collapsed="false">
      <c r="A103" s="4" t="s">
        <v>373</v>
      </c>
      <c r="B103" s="5" t="s">
        <v>67</v>
      </c>
      <c r="C103" s="5" t="s">
        <v>374</v>
      </c>
      <c r="D103" s="10" t="s">
        <v>227</v>
      </c>
      <c r="E103" s="10" t="n">
        <v>2</v>
      </c>
      <c r="F103" s="10" t="s">
        <v>98</v>
      </c>
      <c r="G103" s="5" t="s">
        <v>377</v>
      </c>
      <c r="H103" s="5" t="s">
        <v>378</v>
      </c>
      <c r="I103" s="22" t="s">
        <v>14</v>
      </c>
      <c r="J103" s="21"/>
      <c r="K103" s="21"/>
      <c r="L103" s="21"/>
      <c r="M103" s="23"/>
    </row>
    <row r="104" customFormat="false" ht="22.35" hidden="false" customHeight="false" outlineLevel="0" collapsed="false">
      <c r="A104" s="4" t="s">
        <v>373</v>
      </c>
      <c r="B104" s="5" t="s">
        <v>67</v>
      </c>
      <c r="C104" s="5" t="s">
        <v>374</v>
      </c>
      <c r="D104" s="10" t="s">
        <v>227</v>
      </c>
      <c r="E104" s="10" t="n">
        <v>3</v>
      </c>
      <c r="F104" s="10" t="s">
        <v>101</v>
      </c>
      <c r="G104" s="5" t="s">
        <v>379</v>
      </c>
      <c r="H104" s="5" t="s">
        <v>380</v>
      </c>
      <c r="I104" s="22" t="s">
        <v>14</v>
      </c>
      <c r="J104" s="21"/>
      <c r="K104" s="21"/>
      <c r="L104" s="21"/>
      <c r="M104" s="23"/>
    </row>
    <row r="105" customFormat="false" ht="22.35" hidden="false" customHeight="false" outlineLevel="0" collapsed="false">
      <c r="A105" s="4" t="s">
        <v>373</v>
      </c>
      <c r="B105" s="5" t="s">
        <v>67</v>
      </c>
      <c r="C105" s="5" t="s">
        <v>374</v>
      </c>
      <c r="D105" s="10" t="s">
        <v>227</v>
      </c>
      <c r="E105" s="10" t="n">
        <v>4</v>
      </c>
      <c r="F105" s="10" t="s">
        <v>98</v>
      </c>
      <c r="G105" s="5" t="s">
        <v>381</v>
      </c>
      <c r="H105" s="5" t="s">
        <v>382</v>
      </c>
      <c r="I105" s="22" t="s">
        <v>14</v>
      </c>
      <c r="J105" s="21"/>
      <c r="K105" s="21"/>
      <c r="L105" s="21"/>
      <c r="M105" s="23"/>
    </row>
    <row r="106" customFormat="false" ht="22.35" hidden="false" customHeight="false" outlineLevel="0" collapsed="false">
      <c r="A106" s="4" t="s">
        <v>383</v>
      </c>
      <c r="B106" s="5" t="s">
        <v>67</v>
      </c>
      <c r="C106" s="5" t="s">
        <v>384</v>
      </c>
      <c r="D106" s="10" t="s">
        <v>157</v>
      </c>
      <c r="E106" s="10" t="n">
        <v>1</v>
      </c>
      <c r="F106" s="10" t="s">
        <v>101</v>
      </c>
      <c r="G106" s="5" t="s">
        <v>385</v>
      </c>
      <c r="H106" s="5" t="s">
        <v>386</v>
      </c>
      <c r="I106" s="22" t="s">
        <v>14</v>
      </c>
      <c r="J106" s="21"/>
      <c r="K106" s="21"/>
      <c r="L106" s="21"/>
      <c r="M106" s="23"/>
    </row>
    <row r="107" customFormat="false" ht="22.35" hidden="false" customHeight="false" outlineLevel="0" collapsed="false">
      <c r="A107" s="4" t="s">
        <v>383</v>
      </c>
      <c r="B107" s="5" t="s">
        <v>67</v>
      </c>
      <c r="C107" s="5" t="s">
        <v>384</v>
      </c>
      <c r="D107" s="10" t="s">
        <v>157</v>
      </c>
      <c r="E107" s="10" t="n">
        <v>2</v>
      </c>
      <c r="F107" s="10" t="s">
        <v>101</v>
      </c>
      <c r="G107" s="5" t="s">
        <v>387</v>
      </c>
      <c r="H107" s="5" t="s">
        <v>388</v>
      </c>
      <c r="I107" s="22" t="s">
        <v>14</v>
      </c>
      <c r="J107" s="21"/>
      <c r="K107" s="21"/>
      <c r="L107" s="21"/>
      <c r="M107" s="23"/>
    </row>
    <row r="108" customFormat="false" ht="32.8" hidden="false" customHeight="false" outlineLevel="0" collapsed="false">
      <c r="A108" s="4" t="s">
        <v>383</v>
      </c>
      <c r="B108" s="5" t="s">
        <v>67</v>
      </c>
      <c r="C108" s="5" t="s">
        <v>384</v>
      </c>
      <c r="D108" s="10" t="s">
        <v>157</v>
      </c>
      <c r="E108" s="10" t="n">
        <v>3</v>
      </c>
      <c r="F108" s="10" t="s">
        <v>101</v>
      </c>
      <c r="G108" s="5" t="s">
        <v>389</v>
      </c>
      <c r="H108" s="5" t="s">
        <v>390</v>
      </c>
      <c r="I108" s="22" t="s">
        <v>14</v>
      </c>
      <c r="J108" s="21"/>
      <c r="K108" s="21"/>
      <c r="L108" s="21"/>
      <c r="M108" s="23"/>
    </row>
    <row r="109" customFormat="false" ht="15" hidden="false" customHeight="false" outlineLevel="0" collapsed="false">
      <c r="A109" s="4" t="s">
        <v>383</v>
      </c>
      <c r="B109" s="5" t="s">
        <v>67</v>
      </c>
      <c r="C109" s="5" t="s">
        <v>384</v>
      </c>
      <c r="D109" s="10" t="s">
        <v>157</v>
      </c>
      <c r="E109" s="10" t="n">
        <v>4</v>
      </c>
      <c r="F109" s="10" t="s">
        <v>101</v>
      </c>
      <c r="G109" s="5" t="s">
        <v>391</v>
      </c>
      <c r="H109" s="5" t="s">
        <v>392</v>
      </c>
      <c r="I109" s="22" t="s">
        <v>14</v>
      </c>
      <c r="J109" s="21"/>
      <c r="K109" s="21"/>
      <c r="L109" s="21"/>
      <c r="M109" s="23"/>
    </row>
    <row r="110" customFormat="false" ht="22.35" hidden="false" customHeight="false" outlineLevel="0" collapsed="false">
      <c r="A110" s="4" t="s">
        <v>393</v>
      </c>
      <c r="B110" s="5" t="s">
        <v>67</v>
      </c>
      <c r="C110" s="5" t="s">
        <v>394</v>
      </c>
      <c r="D110" s="10" t="s">
        <v>138</v>
      </c>
      <c r="E110" s="10" t="n">
        <v>1</v>
      </c>
      <c r="F110" s="10" t="s">
        <v>101</v>
      </c>
      <c r="G110" s="5" t="s">
        <v>395</v>
      </c>
      <c r="H110" s="5" t="s">
        <v>396</v>
      </c>
      <c r="I110" s="22" t="s">
        <v>14</v>
      </c>
      <c r="J110" s="21"/>
      <c r="K110" s="21"/>
      <c r="L110" s="21"/>
      <c r="M110" s="23"/>
    </row>
    <row r="111" customFormat="false" ht="22.35" hidden="false" customHeight="false" outlineLevel="0" collapsed="false">
      <c r="A111" s="4" t="s">
        <v>393</v>
      </c>
      <c r="B111" s="5" t="s">
        <v>67</v>
      </c>
      <c r="C111" s="5" t="s">
        <v>394</v>
      </c>
      <c r="D111" s="10" t="s">
        <v>138</v>
      </c>
      <c r="E111" s="10" t="n">
        <v>2</v>
      </c>
      <c r="F111" s="10" t="s">
        <v>101</v>
      </c>
      <c r="G111" s="5" t="s">
        <v>397</v>
      </c>
      <c r="H111" s="5" t="s">
        <v>398</v>
      </c>
      <c r="I111" s="22" t="s">
        <v>14</v>
      </c>
      <c r="J111" s="21"/>
      <c r="K111" s="21"/>
      <c r="L111" s="21"/>
      <c r="M111" s="23"/>
    </row>
    <row r="112" customFormat="false" ht="22.35" hidden="false" customHeight="false" outlineLevel="0" collapsed="false">
      <c r="A112" s="4" t="s">
        <v>393</v>
      </c>
      <c r="B112" s="5" t="s">
        <v>67</v>
      </c>
      <c r="C112" s="5" t="s">
        <v>394</v>
      </c>
      <c r="D112" s="10" t="s">
        <v>138</v>
      </c>
      <c r="E112" s="10" t="n">
        <v>3</v>
      </c>
      <c r="F112" s="10" t="s">
        <v>101</v>
      </c>
      <c r="G112" s="5" t="s">
        <v>399</v>
      </c>
      <c r="H112" s="5" t="s">
        <v>400</v>
      </c>
      <c r="I112" s="22" t="s">
        <v>14</v>
      </c>
      <c r="J112" s="21"/>
      <c r="K112" s="21"/>
      <c r="L112" s="21"/>
      <c r="M112" s="23"/>
    </row>
    <row r="113" customFormat="false" ht="15" hidden="false" customHeight="false" outlineLevel="0" collapsed="false">
      <c r="A113" s="4" t="s">
        <v>393</v>
      </c>
      <c r="B113" s="5" t="s">
        <v>67</v>
      </c>
      <c r="C113" s="5" t="s">
        <v>394</v>
      </c>
      <c r="D113" s="10" t="s">
        <v>138</v>
      </c>
      <c r="E113" s="10" t="n">
        <v>4</v>
      </c>
      <c r="F113" s="10" t="s">
        <v>101</v>
      </c>
      <c r="G113" s="5" t="s">
        <v>401</v>
      </c>
      <c r="H113" s="5" t="s">
        <v>402</v>
      </c>
      <c r="I113" s="22" t="s">
        <v>14</v>
      </c>
      <c r="J113" s="21"/>
      <c r="K113" s="21"/>
      <c r="L113" s="21"/>
      <c r="M113" s="23"/>
    </row>
    <row r="114" customFormat="false" ht="22.35" hidden="false" customHeight="false" outlineLevel="0" collapsed="false">
      <c r="A114" s="4" t="s">
        <v>393</v>
      </c>
      <c r="B114" s="5" t="s">
        <v>67</v>
      </c>
      <c r="C114" s="5" t="s">
        <v>394</v>
      </c>
      <c r="D114" s="10" t="s">
        <v>138</v>
      </c>
      <c r="E114" s="10" t="n">
        <v>5</v>
      </c>
      <c r="F114" s="10" t="s">
        <v>98</v>
      </c>
      <c r="G114" s="5" t="s">
        <v>403</v>
      </c>
      <c r="H114" s="5" t="s">
        <v>404</v>
      </c>
      <c r="I114" s="22" t="s">
        <v>14</v>
      </c>
      <c r="J114" s="21"/>
      <c r="K114" s="21"/>
      <c r="L114" s="21"/>
      <c r="M114" s="23"/>
    </row>
    <row r="115" customFormat="false" ht="22.35" hidden="false" customHeight="false" outlineLevel="0" collapsed="false">
      <c r="A115" s="4" t="s">
        <v>405</v>
      </c>
      <c r="B115" s="5" t="s">
        <v>67</v>
      </c>
      <c r="C115" s="5" t="s">
        <v>406</v>
      </c>
      <c r="D115" s="10" t="s">
        <v>227</v>
      </c>
      <c r="E115" s="10" t="n">
        <v>1</v>
      </c>
      <c r="F115" s="10" t="s">
        <v>101</v>
      </c>
      <c r="G115" s="5" t="s">
        <v>407</v>
      </c>
      <c r="H115" s="5" t="s">
        <v>408</v>
      </c>
      <c r="I115" s="22" t="s">
        <v>14</v>
      </c>
      <c r="J115" s="21"/>
      <c r="K115" s="21"/>
      <c r="L115" s="21"/>
      <c r="M115" s="23"/>
    </row>
    <row r="116" customFormat="false" ht="22.35" hidden="false" customHeight="false" outlineLevel="0" collapsed="false">
      <c r="A116" s="4" t="s">
        <v>405</v>
      </c>
      <c r="B116" s="5" t="s">
        <v>67</v>
      </c>
      <c r="C116" s="5" t="s">
        <v>406</v>
      </c>
      <c r="D116" s="10" t="s">
        <v>227</v>
      </c>
      <c r="E116" s="10" t="n">
        <v>2</v>
      </c>
      <c r="F116" s="10" t="s">
        <v>101</v>
      </c>
      <c r="G116" s="5" t="s">
        <v>409</v>
      </c>
      <c r="H116" s="5" t="s">
        <v>410</v>
      </c>
      <c r="I116" s="22" t="s">
        <v>14</v>
      </c>
      <c r="J116" s="21"/>
      <c r="K116" s="21"/>
      <c r="L116" s="21"/>
      <c r="M116" s="23"/>
    </row>
    <row r="117" customFormat="false" ht="22.35" hidden="false" customHeight="false" outlineLevel="0" collapsed="false">
      <c r="A117" s="4" t="s">
        <v>411</v>
      </c>
      <c r="B117" s="5" t="s">
        <v>68</v>
      </c>
      <c r="C117" s="5" t="s">
        <v>412</v>
      </c>
      <c r="D117" s="10" t="s">
        <v>138</v>
      </c>
      <c r="E117" s="10" t="n">
        <v>1</v>
      </c>
      <c r="F117" s="10" t="s">
        <v>101</v>
      </c>
      <c r="G117" s="5" t="s">
        <v>413</v>
      </c>
      <c r="H117" s="5" t="s">
        <v>414</v>
      </c>
      <c r="I117" s="22" t="s">
        <v>14</v>
      </c>
      <c r="J117" s="21"/>
      <c r="K117" s="21"/>
      <c r="L117" s="21"/>
      <c r="M117" s="23"/>
    </row>
    <row r="118" customFormat="false" ht="22.35" hidden="false" customHeight="false" outlineLevel="0" collapsed="false">
      <c r="A118" s="4" t="s">
        <v>411</v>
      </c>
      <c r="B118" s="5" t="s">
        <v>68</v>
      </c>
      <c r="C118" s="5" t="s">
        <v>412</v>
      </c>
      <c r="D118" s="10" t="s">
        <v>138</v>
      </c>
      <c r="E118" s="10" t="n">
        <v>2</v>
      </c>
      <c r="F118" s="10" t="s">
        <v>101</v>
      </c>
      <c r="G118" s="5" t="s">
        <v>415</v>
      </c>
      <c r="H118" s="5" t="s">
        <v>416</v>
      </c>
      <c r="I118" s="22" t="s">
        <v>14</v>
      </c>
      <c r="J118" s="21"/>
      <c r="K118" s="21"/>
      <c r="L118" s="21"/>
      <c r="M118" s="23"/>
    </row>
    <row r="119" customFormat="false" ht="22.35" hidden="false" customHeight="false" outlineLevel="0" collapsed="false">
      <c r="A119" s="4" t="s">
        <v>411</v>
      </c>
      <c r="B119" s="5" t="s">
        <v>68</v>
      </c>
      <c r="C119" s="5" t="s">
        <v>412</v>
      </c>
      <c r="D119" s="10" t="s">
        <v>138</v>
      </c>
      <c r="E119" s="10" t="n">
        <v>3</v>
      </c>
      <c r="F119" s="10" t="s">
        <v>109</v>
      </c>
      <c r="G119" s="5" t="s">
        <v>417</v>
      </c>
      <c r="H119" s="5" t="s">
        <v>418</v>
      </c>
      <c r="I119" s="22" t="s">
        <v>14</v>
      </c>
      <c r="J119" s="21"/>
      <c r="K119" s="21"/>
      <c r="L119" s="21"/>
      <c r="M119" s="23"/>
    </row>
    <row r="120" customFormat="false" ht="22.35" hidden="false" customHeight="false" outlineLevel="0" collapsed="false">
      <c r="A120" s="4" t="s">
        <v>411</v>
      </c>
      <c r="B120" s="5" t="s">
        <v>68</v>
      </c>
      <c r="C120" s="5" t="s">
        <v>412</v>
      </c>
      <c r="D120" s="10" t="s">
        <v>138</v>
      </c>
      <c r="E120" s="10" t="n">
        <v>4</v>
      </c>
      <c r="F120" s="10" t="s">
        <v>98</v>
      </c>
      <c r="G120" s="5" t="s">
        <v>419</v>
      </c>
      <c r="H120" s="5" t="s">
        <v>420</v>
      </c>
      <c r="I120" s="22" t="s">
        <v>14</v>
      </c>
      <c r="J120" s="21"/>
      <c r="K120" s="21"/>
      <c r="L120" s="21"/>
      <c r="M120" s="23"/>
    </row>
    <row r="121" customFormat="false" ht="22.35" hidden="false" customHeight="false" outlineLevel="0" collapsed="false">
      <c r="A121" s="4" t="s">
        <v>421</v>
      </c>
      <c r="B121" s="5" t="s">
        <v>68</v>
      </c>
      <c r="C121" s="5" t="s">
        <v>422</v>
      </c>
      <c r="D121" s="10" t="s">
        <v>138</v>
      </c>
      <c r="E121" s="10" t="n">
        <v>1</v>
      </c>
      <c r="F121" s="10" t="s">
        <v>98</v>
      </c>
      <c r="G121" s="5" t="s">
        <v>423</v>
      </c>
      <c r="H121" s="5" t="s">
        <v>424</v>
      </c>
      <c r="I121" s="22" t="s">
        <v>14</v>
      </c>
      <c r="J121" s="21"/>
      <c r="K121" s="21"/>
      <c r="L121" s="21"/>
      <c r="M121" s="23"/>
    </row>
    <row r="122" customFormat="false" ht="22.35" hidden="false" customHeight="false" outlineLevel="0" collapsed="false">
      <c r="A122" s="4" t="s">
        <v>421</v>
      </c>
      <c r="B122" s="5" t="s">
        <v>68</v>
      </c>
      <c r="C122" s="5" t="s">
        <v>422</v>
      </c>
      <c r="D122" s="10" t="s">
        <v>138</v>
      </c>
      <c r="E122" s="10" t="n">
        <v>2</v>
      </c>
      <c r="F122" s="10" t="s">
        <v>98</v>
      </c>
      <c r="G122" s="5" t="s">
        <v>425</v>
      </c>
      <c r="H122" s="5" t="s">
        <v>426</v>
      </c>
      <c r="I122" s="22" t="s">
        <v>14</v>
      </c>
      <c r="J122" s="21"/>
      <c r="K122" s="21"/>
      <c r="L122" s="21"/>
      <c r="M122" s="23"/>
    </row>
    <row r="123" customFormat="false" ht="22.35" hidden="false" customHeight="false" outlineLevel="0" collapsed="false">
      <c r="A123" s="4" t="s">
        <v>421</v>
      </c>
      <c r="B123" s="5" t="s">
        <v>68</v>
      </c>
      <c r="C123" s="5" t="s">
        <v>422</v>
      </c>
      <c r="D123" s="10" t="s">
        <v>138</v>
      </c>
      <c r="E123" s="10" t="n">
        <v>3</v>
      </c>
      <c r="F123" s="10" t="s">
        <v>98</v>
      </c>
      <c r="G123" s="5" t="s">
        <v>427</v>
      </c>
      <c r="H123" s="5" t="s">
        <v>428</v>
      </c>
      <c r="I123" s="22" t="s">
        <v>14</v>
      </c>
      <c r="J123" s="21"/>
      <c r="K123" s="21"/>
      <c r="L123" s="21"/>
      <c r="M123" s="23"/>
    </row>
    <row r="124" customFormat="false" ht="22.35" hidden="false" customHeight="false" outlineLevel="0" collapsed="false">
      <c r="A124" s="4" t="s">
        <v>421</v>
      </c>
      <c r="B124" s="5" t="s">
        <v>68</v>
      </c>
      <c r="C124" s="5" t="s">
        <v>422</v>
      </c>
      <c r="D124" s="10" t="s">
        <v>138</v>
      </c>
      <c r="E124" s="10" t="n">
        <v>4</v>
      </c>
      <c r="F124" s="10" t="s">
        <v>98</v>
      </c>
      <c r="G124" s="5" t="s">
        <v>429</v>
      </c>
      <c r="H124" s="5" t="s">
        <v>430</v>
      </c>
      <c r="I124" s="22" t="s">
        <v>14</v>
      </c>
      <c r="J124" s="21"/>
      <c r="K124" s="21"/>
      <c r="L124" s="21"/>
      <c r="M124" s="23"/>
    </row>
    <row r="125" customFormat="false" ht="22.35" hidden="false" customHeight="false" outlineLevel="0" collapsed="false">
      <c r="A125" s="4" t="s">
        <v>431</v>
      </c>
      <c r="B125" s="5" t="s">
        <v>68</v>
      </c>
      <c r="C125" s="5" t="s">
        <v>432</v>
      </c>
      <c r="D125" s="10" t="s">
        <v>157</v>
      </c>
      <c r="E125" s="10" t="n">
        <v>1</v>
      </c>
      <c r="F125" s="10" t="s">
        <v>98</v>
      </c>
      <c r="G125" s="5" t="s">
        <v>433</v>
      </c>
      <c r="H125" s="5" t="s">
        <v>434</v>
      </c>
      <c r="I125" s="22" t="s">
        <v>14</v>
      </c>
      <c r="J125" s="21"/>
      <c r="K125" s="21"/>
      <c r="L125" s="21"/>
      <c r="M125" s="23"/>
    </row>
    <row r="126" customFormat="false" ht="32.8" hidden="false" customHeight="false" outlineLevel="0" collapsed="false">
      <c r="A126" s="4" t="s">
        <v>431</v>
      </c>
      <c r="B126" s="5" t="s">
        <v>68</v>
      </c>
      <c r="C126" s="5" t="s">
        <v>432</v>
      </c>
      <c r="D126" s="10" t="s">
        <v>157</v>
      </c>
      <c r="E126" s="10" t="n">
        <v>2</v>
      </c>
      <c r="F126" s="10" t="s">
        <v>101</v>
      </c>
      <c r="G126" s="5" t="s">
        <v>435</v>
      </c>
      <c r="H126" s="5" t="s">
        <v>436</v>
      </c>
      <c r="I126" s="22" t="s">
        <v>14</v>
      </c>
      <c r="J126" s="21"/>
      <c r="K126" s="21"/>
      <c r="L126" s="21"/>
      <c r="M126" s="23"/>
    </row>
    <row r="127" customFormat="false" ht="22.35" hidden="false" customHeight="false" outlineLevel="0" collapsed="false">
      <c r="A127" s="4" t="s">
        <v>431</v>
      </c>
      <c r="B127" s="5" t="s">
        <v>68</v>
      </c>
      <c r="C127" s="5" t="s">
        <v>432</v>
      </c>
      <c r="D127" s="10" t="s">
        <v>157</v>
      </c>
      <c r="E127" s="10" t="n">
        <v>3</v>
      </c>
      <c r="F127" s="10" t="s">
        <v>98</v>
      </c>
      <c r="G127" s="5" t="s">
        <v>437</v>
      </c>
      <c r="H127" s="5" t="s">
        <v>438</v>
      </c>
      <c r="I127" s="22" t="s">
        <v>14</v>
      </c>
      <c r="J127" s="21"/>
      <c r="K127" s="21"/>
      <c r="L127" s="21"/>
      <c r="M127" s="23"/>
    </row>
    <row r="128" customFormat="false" ht="22.35" hidden="false" customHeight="false" outlineLevel="0" collapsed="false">
      <c r="A128" s="4" t="s">
        <v>439</v>
      </c>
      <c r="B128" s="5" t="s">
        <v>68</v>
      </c>
      <c r="C128" s="5" t="s">
        <v>440</v>
      </c>
      <c r="D128" s="10" t="s">
        <v>138</v>
      </c>
      <c r="E128" s="10" t="n">
        <v>1</v>
      </c>
      <c r="F128" s="10" t="s">
        <v>98</v>
      </c>
      <c r="G128" s="5" t="s">
        <v>441</v>
      </c>
      <c r="H128" s="5" t="s">
        <v>396</v>
      </c>
      <c r="I128" s="22" t="s">
        <v>14</v>
      </c>
      <c r="J128" s="21"/>
      <c r="K128" s="21"/>
      <c r="L128" s="21"/>
      <c r="M128" s="23"/>
    </row>
    <row r="129" customFormat="false" ht="22.35" hidden="false" customHeight="false" outlineLevel="0" collapsed="false">
      <c r="A129" s="4" t="s">
        <v>439</v>
      </c>
      <c r="B129" s="5" t="s">
        <v>68</v>
      </c>
      <c r="C129" s="5" t="s">
        <v>440</v>
      </c>
      <c r="D129" s="10" t="s">
        <v>138</v>
      </c>
      <c r="E129" s="10" t="n">
        <v>2</v>
      </c>
      <c r="F129" s="10" t="s">
        <v>98</v>
      </c>
      <c r="G129" s="5" t="s">
        <v>442</v>
      </c>
      <c r="H129" s="5" t="s">
        <v>443</v>
      </c>
      <c r="I129" s="22" t="s">
        <v>14</v>
      </c>
      <c r="J129" s="21"/>
      <c r="K129" s="21"/>
      <c r="L129" s="21"/>
      <c r="M129" s="23"/>
    </row>
    <row r="130" customFormat="false" ht="22.35" hidden="false" customHeight="false" outlineLevel="0" collapsed="false">
      <c r="A130" s="4" t="s">
        <v>439</v>
      </c>
      <c r="B130" s="5" t="s">
        <v>68</v>
      </c>
      <c r="C130" s="5" t="s">
        <v>440</v>
      </c>
      <c r="D130" s="10" t="s">
        <v>138</v>
      </c>
      <c r="E130" s="10" t="n">
        <v>3</v>
      </c>
      <c r="F130" s="10" t="s">
        <v>101</v>
      </c>
      <c r="G130" s="5" t="s">
        <v>444</v>
      </c>
      <c r="H130" s="5" t="s">
        <v>445</v>
      </c>
      <c r="I130" s="22" t="s">
        <v>14</v>
      </c>
      <c r="J130" s="21"/>
      <c r="K130" s="21"/>
      <c r="L130" s="21"/>
      <c r="M130" s="23"/>
    </row>
    <row r="131" customFormat="false" ht="22.35" hidden="false" customHeight="false" outlineLevel="0" collapsed="false">
      <c r="A131" s="4" t="s">
        <v>439</v>
      </c>
      <c r="B131" s="5" t="s">
        <v>68</v>
      </c>
      <c r="C131" s="5" t="s">
        <v>440</v>
      </c>
      <c r="D131" s="10" t="s">
        <v>138</v>
      </c>
      <c r="E131" s="10" t="n">
        <v>4</v>
      </c>
      <c r="F131" s="10" t="s">
        <v>101</v>
      </c>
      <c r="G131" s="5" t="s">
        <v>446</v>
      </c>
      <c r="H131" s="5" t="s">
        <v>447</v>
      </c>
      <c r="I131" s="22" t="s">
        <v>14</v>
      </c>
      <c r="J131" s="21"/>
      <c r="K131" s="21"/>
      <c r="L131" s="21"/>
      <c r="M131" s="23"/>
    </row>
    <row r="132" customFormat="false" ht="22.35" hidden="false" customHeight="false" outlineLevel="0" collapsed="false">
      <c r="A132" s="4" t="s">
        <v>439</v>
      </c>
      <c r="B132" s="5" t="s">
        <v>68</v>
      </c>
      <c r="C132" s="5" t="s">
        <v>440</v>
      </c>
      <c r="D132" s="10" t="s">
        <v>138</v>
      </c>
      <c r="E132" s="10" t="n">
        <v>5</v>
      </c>
      <c r="F132" s="10" t="s">
        <v>98</v>
      </c>
      <c r="G132" s="5" t="s">
        <v>448</v>
      </c>
      <c r="H132" s="5" t="s">
        <v>449</v>
      </c>
      <c r="I132" s="22" t="s">
        <v>14</v>
      </c>
      <c r="J132" s="21"/>
      <c r="K132" s="21"/>
      <c r="L132" s="21"/>
      <c r="M132" s="23"/>
    </row>
    <row r="133" customFormat="false" ht="22.35" hidden="false" customHeight="false" outlineLevel="0" collapsed="false">
      <c r="A133" s="4" t="s">
        <v>450</v>
      </c>
      <c r="B133" s="5" t="s">
        <v>68</v>
      </c>
      <c r="C133" s="5" t="s">
        <v>451</v>
      </c>
      <c r="D133" s="10" t="s">
        <v>157</v>
      </c>
      <c r="E133" s="10" t="n">
        <v>1</v>
      </c>
      <c r="F133" s="10" t="s">
        <v>98</v>
      </c>
      <c r="G133" s="5" t="s">
        <v>452</v>
      </c>
      <c r="H133" s="5" t="s">
        <v>453</v>
      </c>
      <c r="I133" s="22" t="s">
        <v>14</v>
      </c>
      <c r="J133" s="21"/>
      <c r="K133" s="21"/>
      <c r="L133" s="21"/>
      <c r="M133" s="23"/>
    </row>
    <row r="134" customFormat="false" ht="22.35" hidden="false" customHeight="false" outlineLevel="0" collapsed="false">
      <c r="A134" s="4" t="s">
        <v>450</v>
      </c>
      <c r="B134" s="5" t="s">
        <v>68</v>
      </c>
      <c r="C134" s="5" t="s">
        <v>451</v>
      </c>
      <c r="D134" s="10" t="s">
        <v>157</v>
      </c>
      <c r="E134" s="10" t="n">
        <v>2</v>
      </c>
      <c r="F134" s="10" t="s">
        <v>98</v>
      </c>
      <c r="G134" s="5" t="s">
        <v>454</v>
      </c>
      <c r="H134" s="5" t="s">
        <v>455</v>
      </c>
      <c r="I134" s="22" t="s">
        <v>14</v>
      </c>
      <c r="J134" s="21"/>
      <c r="K134" s="21"/>
      <c r="L134" s="21"/>
      <c r="M134" s="23"/>
    </row>
    <row r="135" customFormat="false" ht="22.35" hidden="false" customHeight="false" outlineLevel="0" collapsed="false">
      <c r="A135" s="4" t="s">
        <v>450</v>
      </c>
      <c r="B135" s="5" t="s">
        <v>68</v>
      </c>
      <c r="C135" s="5" t="s">
        <v>451</v>
      </c>
      <c r="D135" s="10" t="s">
        <v>157</v>
      </c>
      <c r="E135" s="10" t="n">
        <v>3</v>
      </c>
      <c r="F135" s="10" t="s">
        <v>98</v>
      </c>
      <c r="G135" s="5" t="s">
        <v>456</v>
      </c>
      <c r="H135" s="5" t="s">
        <v>457</v>
      </c>
      <c r="I135" s="22" t="s">
        <v>14</v>
      </c>
      <c r="J135" s="21"/>
      <c r="K135" s="21"/>
      <c r="L135" s="21"/>
      <c r="M135" s="23"/>
    </row>
    <row r="136" customFormat="false" ht="22.35" hidden="false" customHeight="false" outlineLevel="0" collapsed="false">
      <c r="A136" s="4" t="s">
        <v>450</v>
      </c>
      <c r="B136" s="5" t="s">
        <v>68</v>
      </c>
      <c r="C136" s="5" t="s">
        <v>451</v>
      </c>
      <c r="D136" s="10" t="s">
        <v>157</v>
      </c>
      <c r="E136" s="10" t="n">
        <v>4</v>
      </c>
      <c r="F136" s="10" t="s">
        <v>98</v>
      </c>
      <c r="G136" s="5" t="s">
        <v>458</v>
      </c>
      <c r="H136" s="5" t="s">
        <v>459</v>
      </c>
      <c r="I136" s="22" t="s">
        <v>14</v>
      </c>
      <c r="J136" s="21"/>
      <c r="K136" s="21"/>
      <c r="L136" s="21"/>
      <c r="M136" s="23"/>
    </row>
    <row r="137" customFormat="false" ht="32.8" hidden="false" customHeight="false" outlineLevel="0" collapsed="false">
      <c r="A137" s="4" t="s">
        <v>460</v>
      </c>
      <c r="B137" s="5" t="s">
        <v>69</v>
      </c>
      <c r="C137" s="5" t="s">
        <v>461</v>
      </c>
      <c r="D137" s="10" t="s">
        <v>157</v>
      </c>
      <c r="E137" s="10" t="n">
        <v>1</v>
      </c>
      <c r="F137" s="10" t="s">
        <v>101</v>
      </c>
      <c r="G137" s="5" t="s">
        <v>462</v>
      </c>
      <c r="H137" s="5" t="s">
        <v>463</v>
      </c>
      <c r="I137" s="22" t="s">
        <v>14</v>
      </c>
      <c r="J137" s="21"/>
      <c r="K137" s="21"/>
      <c r="L137" s="21"/>
      <c r="M137" s="23"/>
    </row>
    <row r="138" customFormat="false" ht="15" hidden="false" customHeight="false" outlineLevel="0" collapsed="false">
      <c r="A138" s="4" t="s">
        <v>460</v>
      </c>
      <c r="B138" s="5" t="s">
        <v>69</v>
      </c>
      <c r="C138" s="5" t="s">
        <v>461</v>
      </c>
      <c r="D138" s="10" t="s">
        <v>157</v>
      </c>
      <c r="E138" s="10" t="n">
        <v>2</v>
      </c>
      <c r="F138" s="10" t="s">
        <v>101</v>
      </c>
      <c r="G138" s="5" t="s">
        <v>464</v>
      </c>
      <c r="H138" s="5" t="s">
        <v>465</v>
      </c>
      <c r="I138" s="22" t="s">
        <v>14</v>
      </c>
      <c r="J138" s="21"/>
      <c r="K138" s="21"/>
      <c r="L138" s="21"/>
      <c r="M138" s="23"/>
    </row>
    <row r="139" customFormat="false" ht="22.35" hidden="false" customHeight="false" outlineLevel="0" collapsed="false">
      <c r="A139" s="4" t="s">
        <v>460</v>
      </c>
      <c r="B139" s="5" t="s">
        <v>69</v>
      </c>
      <c r="C139" s="5" t="s">
        <v>461</v>
      </c>
      <c r="D139" s="10" t="s">
        <v>157</v>
      </c>
      <c r="E139" s="10" t="n">
        <v>3</v>
      </c>
      <c r="F139" s="10" t="s">
        <v>291</v>
      </c>
      <c r="G139" s="5" t="s">
        <v>466</v>
      </c>
      <c r="H139" s="5" t="s">
        <v>467</v>
      </c>
      <c r="I139" s="22" t="s">
        <v>14</v>
      </c>
      <c r="J139" s="21"/>
      <c r="K139" s="21"/>
      <c r="L139" s="21"/>
      <c r="M139" s="23"/>
    </row>
    <row r="140" customFormat="false" ht="22.35" hidden="false" customHeight="false" outlineLevel="0" collapsed="false">
      <c r="A140" s="4" t="s">
        <v>460</v>
      </c>
      <c r="B140" s="5" t="s">
        <v>69</v>
      </c>
      <c r="C140" s="5" t="s">
        <v>461</v>
      </c>
      <c r="D140" s="10" t="s">
        <v>157</v>
      </c>
      <c r="E140" s="10" t="n">
        <v>4</v>
      </c>
      <c r="F140" s="10" t="s">
        <v>98</v>
      </c>
      <c r="G140" s="5" t="s">
        <v>468</v>
      </c>
      <c r="H140" s="5" t="s">
        <v>469</v>
      </c>
      <c r="I140" s="22" t="s">
        <v>14</v>
      </c>
      <c r="J140" s="21"/>
      <c r="K140" s="21"/>
      <c r="L140" s="21"/>
      <c r="M140" s="23"/>
    </row>
    <row r="141" customFormat="false" ht="22.35" hidden="false" customHeight="false" outlineLevel="0" collapsed="false">
      <c r="A141" s="4" t="s">
        <v>460</v>
      </c>
      <c r="B141" s="5" t="s">
        <v>69</v>
      </c>
      <c r="C141" s="5" t="s">
        <v>461</v>
      </c>
      <c r="D141" s="10" t="s">
        <v>157</v>
      </c>
      <c r="E141" s="10" t="n">
        <v>5</v>
      </c>
      <c r="F141" s="10" t="s">
        <v>101</v>
      </c>
      <c r="G141" s="5" t="s">
        <v>470</v>
      </c>
      <c r="H141" s="5" t="s">
        <v>471</v>
      </c>
      <c r="I141" s="22" t="s">
        <v>14</v>
      </c>
      <c r="J141" s="21"/>
      <c r="K141" s="21"/>
      <c r="L141" s="21"/>
      <c r="M141" s="23"/>
    </row>
    <row r="142" customFormat="false" ht="15" hidden="false" customHeight="false" outlineLevel="0" collapsed="false">
      <c r="A142" s="4" t="s">
        <v>460</v>
      </c>
      <c r="B142" s="5" t="s">
        <v>69</v>
      </c>
      <c r="C142" s="5" t="s">
        <v>461</v>
      </c>
      <c r="D142" s="10" t="s">
        <v>157</v>
      </c>
      <c r="E142" s="10" t="n">
        <v>6</v>
      </c>
      <c r="F142" s="10" t="s">
        <v>101</v>
      </c>
      <c r="G142" s="5" t="s">
        <v>472</v>
      </c>
      <c r="H142" s="5" t="s">
        <v>473</v>
      </c>
      <c r="I142" s="22" t="s">
        <v>14</v>
      </c>
      <c r="J142" s="21"/>
      <c r="K142" s="21"/>
      <c r="L142" s="21"/>
      <c r="M142" s="23"/>
    </row>
    <row r="143" customFormat="false" ht="22.35" hidden="false" customHeight="false" outlineLevel="0" collapsed="false">
      <c r="A143" s="4" t="s">
        <v>460</v>
      </c>
      <c r="B143" s="5" t="s">
        <v>69</v>
      </c>
      <c r="C143" s="5" t="s">
        <v>461</v>
      </c>
      <c r="D143" s="10" t="s">
        <v>157</v>
      </c>
      <c r="E143" s="10" t="n">
        <v>7</v>
      </c>
      <c r="F143" s="10" t="s">
        <v>101</v>
      </c>
      <c r="G143" s="5" t="s">
        <v>474</v>
      </c>
      <c r="H143" s="5" t="s">
        <v>475</v>
      </c>
      <c r="I143" s="22" t="s">
        <v>14</v>
      </c>
      <c r="J143" s="21"/>
      <c r="K143" s="21"/>
      <c r="L143" s="21"/>
      <c r="M143" s="23"/>
    </row>
    <row r="144" customFormat="false" ht="22.35" hidden="false" customHeight="false" outlineLevel="0" collapsed="false">
      <c r="A144" s="4" t="s">
        <v>476</v>
      </c>
      <c r="B144" s="5" t="s">
        <v>70</v>
      </c>
      <c r="C144" s="5" t="s">
        <v>477</v>
      </c>
      <c r="D144" s="10" t="s">
        <v>138</v>
      </c>
      <c r="E144" s="10" t="n">
        <v>1</v>
      </c>
      <c r="F144" s="10" t="s">
        <v>101</v>
      </c>
      <c r="G144" s="5" t="s">
        <v>478</v>
      </c>
      <c r="H144" s="5" t="s">
        <v>479</v>
      </c>
      <c r="I144" s="22" t="s">
        <v>14</v>
      </c>
      <c r="J144" s="21"/>
      <c r="K144" s="21"/>
      <c r="L144" s="21"/>
      <c r="M144" s="23"/>
    </row>
    <row r="145" customFormat="false" ht="22.35" hidden="false" customHeight="false" outlineLevel="0" collapsed="false">
      <c r="A145" s="4" t="s">
        <v>476</v>
      </c>
      <c r="B145" s="5" t="s">
        <v>70</v>
      </c>
      <c r="C145" s="5" t="s">
        <v>477</v>
      </c>
      <c r="D145" s="10" t="s">
        <v>138</v>
      </c>
      <c r="E145" s="10" t="n">
        <v>2</v>
      </c>
      <c r="F145" s="10" t="s">
        <v>101</v>
      </c>
      <c r="G145" s="5" t="s">
        <v>480</v>
      </c>
      <c r="H145" s="5" t="s">
        <v>481</v>
      </c>
      <c r="I145" s="22" t="s">
        <v>14</v>
      </c>
      <c r="J145" s="21"/>
      <c r="K145" s="21"/>
      <c r="L145" s="21"/>
      <c r="M145" s="23"/>
    </row>
    <row r="146" customFormat="false" ht="15" hidden="false" customHeight="false" outlineLevel="0" collapsed="false">
      <c r="A146" s="4" t="s">
        <v>476</v>
      </c>
      <c r="B146" s="5" t="s">
        <v>70</v>
      </c>
      <c r="C146" s="5" t="s">
        <v>477</v>
      </c>
      <c r="D146" s="10" t="s">
        <v>138</v>
      </c>
      <c r="E146" s="10" t="n">
        <v>3</v>
      </c>
      <c r="F146" s="10" t="s">
        <v>101</v>
      </c>
      <c r="G146" s="5" t="s">
        <v>482</v>
      </c>
      <c r="H146" s="5" t="s">
        <v>483</v>
      </c>
      <c r="I146" s="22" t="s">
        <v>14</v>
      </c>
      <c r="J146" s="21"/>
      <c r="K146" s="21"/>
      <c r="L146" s="21"/>
      <c r="M146" s="23"/>
    </row>
    <row r="147" customFormat="false" ht="15" hidden="false" customHeight="false" outlineLevel="0" collapsed="false">
      <c r="A147" s="4" t="s">
        <v>476</v>
      </c>
      <c r="B147" s="5" t="s">
        <v>70</v>
      </c>
      <c r="C147" s="5" t="s">
        <v>477</v>
      </c>
      <c r="D147" s="10" t="s">
        <v>138</v>
      </c>
      <c r="E147" s="10" t="n">
        <v>4</v>
      </c>
      <c r="F147" s="10" t="s">
        <v>101</v>
      </c>
      <c r="G147" s="5" t="s">
        <v>484</v>
      </c>
      <c r="H147" s="5" t="s">
        <v>485</v>
      </c>
      <c r="I147" s="22" t="s">
        <v>14</v>
      </c>
      <c r="J147" s="21"/>
      <c r="K147" s="21"/>
      <c r="L147" s="21"/>
      <c r="M147" s="23"/>
    </row>
    <row r="148" customFormat="false" ht="22.35" hidden="false" customHeight="false" outlineLevel="0" collapsed="false">
      <c r="A148" s="4" t="s">
        <v>476</v>
      </c>
      <c r="B148" s="5" t="s">
        <v>70</v>
      </c>
      <c r="C148" s="5" t="s">
        <v>477</v>
      </c>
      <c r="D148" s="10" t="s">
        <v>138</v>
      </c>
      <c r="E148" s="10" t="n">
        <v>5</v>
      </c>
      <c r="F148" s="10" t="s">
        <v>105</v>
      </c>
      <c r="G148" s="5" t="s">
        <v>486</v>
      </c>
      <c r="H148" s="5" t="s">
        <v>487</v>
      </c>
      <c r="I148" s="22" t="s">
        <v>14</v>
      </c>
      <c r="J148" s="21"/>
      <c r="K148" s="21"/>
      <c r="L148" s="21"/>
      <c r="M148" s="23"/>
    </row>
    <row r="149" customFormat="false" ht="15" hidden="false" customHeight="false" outlineLevel="0" collapsed="false">
      <c r="A149" s="4" t="s">
        <v>476</v>
      </c>
      <c r="B149" s="5" t="s">
        <v>70</v>
      </c>
      <c r="C149" s="5" t="s">
        <v>477</v>
      </c>
      <c r="D149" s="10" t="s">
        <v>138</v>
      </c>
      <c r="E149" s="10" t="n">
        <v>6</v>
      </c>
      <c r="F149" s="10" t="s">
        <v>101</v>
      </c>
      <c r="G149" s="5" t="s">
        <v>488</v>
      </c>
      <c r="H149" s="5" t="s">
        <v>489</v>
      </c>
      <c r="I149" s="22" t="s">
        <v>14</v>
      </c>
      <c r="J149" s="21"/>
      <c r="K149" s="21"/>
      <c r="L149" s="21"/>
      <c r="M149" s="23"/>
    </row>
    <row r="150" customFormat="false" ht="15" hidden="false" customHeight="false" outlineLevel="0" collapsed="false">
      <c r="A150" s="4" t="s">
        <v>476</v>
      </c>
      <c r="B150" s="5" t="s">
        <v>70</v>
      </c>
      <c r="C150" s="5" t="s">
        <v>477</v>
      </c>
      <c r="D150" s="10" t="s">
        <v>138</v>
      </c>
      <c r="E150" s="10" t="n">
        <v>7</v>
      </c>
      <c r="F150" s="10" t="s">
        <v>98</v>
      </c>
      <c r="G150" s="5" t="s">
        <v>490</v>
      </c>
      <c r="H150" s="5" t="s">
        <v>491</v>
      </c>
      <c r="I150" s="22" t="s">
        <v>14</v>
      </c>
      <c r="J150" s="21"/>
      <c r="K150" s="21"/>
      <c r="L150" s="21"/>
      <c r="M150" s="23"/>
    </row>
    <row r="151" customFormat="false" ht="22.35" hidden="false" customHeight="false" outlineLevel="0" collapsed="false">
      <c r="A151" s="4" t="s">
        <v>492</v>
      </c>
      <c r="B151" s="5" t="s">
        <v>70</v>
      </c>
      <c r="C151" s="5" t="s">
        <v>493</v>
      </c>
      <c r="D151" s="10" t="s">
        <v>157</v>
      </c>
      <c r="E151" s="10" t="n">
        <v>1</v>
      </c>
      <c r="F151" s="10" t="s">
        <v>109</v>
      </c>
      <c r="G151" s="5" t="s">
        <v>494</v>
      </c>
      <c r="H151" s="5" t="s">
        <v>495</v>
      </c>
      <c r="I151" s="22" t="s">
        <v>14</v>
      </c>
      <c r="J151" s="21"/>
      <c r="K151" s="21"/>
      <c r="L151" s="21"/>
      <c r="M151" s="23"/>
    </row>
    <row r="152" customFormat="false" ht="22.35" hidden="false" customHeight="false" outlineLevel="0" collapsed="false">
      <c r="A152" s="4" t="s">
        <v>492</v>
      </c>
      <c r="B152" s="5" t="s">
        <v>70</v>
      </c>
      <c r="C152" s="5" t="s">
        <v>493</v>
      </c>
      <c r="D152" s="10" t="s">
        <v>157</v>
      </c>
      <c r="E152" s="10" t="n">
        <v>2</v>
      </c>
      <c r="F152" s="10" t="s">
        <v>109</v>
      </c>
      <c r="G152" s="5" t="s">
        <v>496</v>
      </c>
      <c r="H152" s="5" t="s">
        <v>497</v>
      </c>
      <c r="I152" s="22" t="s">
        <v>14</v>
      </c>
      <c r="J152" s="21"/>
      <c r="K152" s="21"/>
      <c r="L152" s="21"/>
      <c r="M152" s="23"/>
    </row>
    <row r="153" customFormat="false" ht="22.35" hidden="false" customHeight="false" outlineLevel="0" collapsed="false">
      <c r="A153" s="4" t="s">
        <v>492</v>
      </c>
      <c r="B153" s="5" t="s">
        <v>70</v>
      </c>
      <c r="C153" s="5" t="s">
        <v>493</v>
      </c>
      <c r="D153" s="10" t="s">
        <v>157</v>
      </c>
      <c r="E153" s="10" t="n">
        <v>3</v>
      </c>
      <c r="F153" s="10" t="s">
        <v>109</v>
      </c>
      <c r="G153" s="5" t="s">
        <v>498</v>
      </c>
      <c r="H153" s="5" t="s">
        <v>499</v>
      </c>
      <c r="I153" s="22" t="s">
        <v>14</v>
      </c>
      <c r="J153" s="21"/>
      <c r="K153" s="21"/>
      <c r="L153" s="21"/>
      <c r="M153" s="23"/>
    </row>
    <row r="154" customFormat="false" ht="22.35" hidden="false" customHeight="false" outlineLevel="0" collapsed="false">
      <c r="A154" s="4" t="s">
        <v>492</v>
      </c>
      <c r="B154" s="5" t="s">
        <v>70</v>
      </c>
      <c r="C154" s="5" t="s">
        <v>493</v>
      </c>
      <c r="D154" s="10" t="s">
        <v>157</v>
      </c>
      <c r="E154" s="10" t="n">
        <v>4</v>
      </c>
      <c r="F154" s="10" t="s">
        <v>112</v>
      </c>
      <c r="G154" s="5" t="s">
        <v>500</v>
      </c>
      <c r="H154" s="5" t="s">
        <v>501</v>
      </c>
      <c r="I154" s="22" t="s">
        <v>14</v>
      </c>
      <c r="J154" s="21"/>
      <c r="K154" s="21"/>
      <c r="L154" s="21"/>
      <c r="M154" s="23"/>
    </row>
    <row r="155" customFormat="false" ht="32.8" hidden="false" customHeight="false" outlineLevel="0" collapsed="false">
      <c r="A155" s="4" t="s">
        <v>492</v>
      </c>
      <c r="B155" s="5" t="s">
        <v>70</v>
      </c>
      <c r="C155" s="5" t="s">
        <v>493</v>
      </c>
      <c r="D155" s="10" t="s">
        <v>157</v>
      </c>
      <c r="E155" s="10" t="n">
        <v>5</v>
      </c>
      <c r="F155" s="10" t="s">
        <v>210</v>
      </c>
      <c r="G155" s="5" t="s">
        <v>502</v>
      </c>
      <c r="H155" s="5" t="s">
        <v>503</v>
      </c>
      <c r="I155" s="22" t="s">
        <v>14</v>
      </c>
      <c r="J155" s="21"/>
      <c r="K155" s="21"/>
      <c r="L155" s="21"/>
      <c r="M155" s="23"/>
    </row>
    <row r="156" customFormat="false" ht="32.8" hidden="false" customHeight="false" outlineLevel="0" collapsed="false">
      <c r="A156" s="4" t="s">
        <v>492</v>
      </c>
      <c r="B156" s="5" t="s">
        <v>70</v>
      </c>
      <c r="C156" s="5" t="s">
        <v>493</v>
      </c>
      <c r="D156" s="10" t="s">
        <v>157</v>
      </c>
      <c r="E156" s="10" t="n">
        <v>6</v>
      </c>
      <c r="F156" s="10" t="s">
        <v>105</v>
      </c>
      <c r="G156" s="5" t="s">
        <v>504</v>
      </c>
      <c r="H156" s="5" t="s">
        <v>505</v>
      </c>
      <c r="I156" s="22" t="s">
        <v>14</v>
      </c>
      <c r="J156" s="21"/>
      <c r="K156" s="21"/>
      <c r="L156" s="21"/>
      <c r="M156" s="23"/>
    </row>
    <row r="157" customFormat="false" ht="22.35" hidden="false" customHeight="false" outlineLevel="0" collapsed="false">
      <c r="A157" s="4" t="s">
        <v>506</v>
      </c>
      <c r="B157" s="5" t="s">
        <v>70</v>
      </c>
      <c r="C157" s="5" t="s">
        <v>507</v>
      </c>
      <c r="D157" s="10" t="s">
        <v>227</v>
      </c>
      <c r="E157" s="10" t="n">
        <v>1</v>
      </c>
      <c r="F157" s="10" t="s">
        <v>98</v>
      </c>
      <c r="G157" s="5" t="s">
        <v>508</v>
      </c>
      <c r="H157" s="5" t="s">
        <v>509</v>
      </c>
      <c r="I157" s="22" t="s">
        <v>14</v>
      </c>
      <c r="J157" s="21"/>
      <c r="K157" s="21"/>
      <c r="L157" s="21"/>
      <c r="M157" s="23"/>
    </row>
    <row r="158" customFormat="false" ht="15" hidden="false" customHeight="false" outlineLevel="0" collapsed="false">
      <c r="A158" s="4" t="s">
        <v>506</v>
      </c>
      <c r="B158" s="5" t="s">
        <v>70</v>
      </c>
      <c r="C158" s="5" t="s">
        <v>507</v>
      </c>
      <c r="D158" s="10" t="s">
        <v>227</v>
      </c>
      <c r="E158" s="10" t="n">
        <v>2</v>
      </c>
      <c r="F158" s="10" t="s">
        <v>98</v>
      </c>
      <c r="G158" s="5" t="s">
        <v>510</v>
      </c>
      <c r="H158" s="5" t="s">
        <v>511</v>
      </c>
      <c r="I158" s="22" t="s">
        <v>14</v>
      </c>
      <c r="J158" s="21"/>
      <c r="K158" s="21"/>
      <c r="L158" s="21"/>
      <c r="M158" s="23"/>
    </row>
    <row r="159" customFormat="false" ht="22.35" hidden="false" customHeight="false" outlineLevel="0" collapsed="false">
      <c r="A159" s="4" t="s">
        <v>506</v>
      </c>
      <c r="B159" s="5" t="s">
        <v>70</v>
      </c>
      <c r="C159" s="5" t="s">
        <v>507</v>
      </c>
      <c r="D159" s="10" t="s">
        <v>227</v>
      </c>
      <c r="E159" s="10" t="n">
        <v>3</v>
      </c>
      <c r="F159" s="10" t="s">
        <v>98</v>
      </c>
      <c r="G159" s="5" t="s">
        <v>512</v>
      </c>
      <c r="H159" s="5" t="s">
        <v>513</v>
      </c>
      <c r="I159" s="22" t="s">
        <v>14</v>
      </c>
      <c r="J159" s="21"/>
      <c r="K159" s="21"/>
      <c r="L159" s="21"/>
      <c r="M159" s="23"/>
    </row>
    <row r="160" customFormat="false" ht="22.35" hidden="false" customHeight="false" outlineLevel="0" collapsed="false">
      <c r="A160" s="4" t="s">
        <v>506</v>
      </c>
      <c r="B160" s="5" t="s">
        <v>70</v>
      </c>
      <c r="C160" s="5" t="s">
        <v>507</v>
      </c>
      <c r="D160" s="10" t="s">
        <v>227</v>
      </c>
      <c r="E160" s="10" t="n">
        <v>4</v>
      </c>
      <c r="F160" s="10" t="s">
        <v>109</v>
      </c>
      <c r="G160" s="5" t="s">
        <v>514</v>
      </c>
      <c r="H160" s="5" t="s">
        <v>515</v>
      </c>
      <c r="I160" s="22" t="s">
        <v>14</v>
      </c>
      <c r="J160" s="21"/>
      <c r="K160" s="21"/>
      <c r="L160" s="21"/>
      <c r="M160" s="23"/>
    </row>
    <row r="161" customFormat="false" ht="22.35" hidden="false" customHeight="false" outlineLevel="0" collapsed="false">
      <c r="A161" s="4" t="s">
        <v>516</v>
      </c>
      <c r="B161" s="5" t="s">
        <v>71</v>
      </c>
      <c r="C161" s="5" t="s">
        <v>517</v>
      </c>
      <c r="D161" s="10" t="s">
        <v>227</v>
      </c>
      <c r="E161" s="10" t="n">
        <v>1</v>
      </c>
      <c r="F161" s="10" t="s">
        <v>98</v>
      </c>
      <c r="G161" s="5" t="s">
        <v>518</v>
      </c>
      <c r="H161" s="5" t="s">
        <v>519</v>
      </c>
      <c r="I161" s="22" t="s">
        <v>14</v>
      </c>
      <c r="J161" s="21"/>
      <c r="K161" s="21"/>
      <c r="L161" s="21"/>
      <c r="M161" s="23"/>
    </row>
    <row r="162" customFormat="false" ht="22.35" hidden="false" customHeight="false" outlineLevel="0" collapsed="false">
      <c r="A162" s="4" t="s">
        <v>516</v>
      </c>
      <c r="B162" s="5" t="s">
        <v>71</v>
      </c>
      <c r="C162" s="5" t="s">
        <v>517</v>
      </c>
      <c r="D162" s="10" t="s">
        <v>227</v>
      </c>
      <c r="E162" s="10" t="n">
        <v>2</v>
      </c>
      <c r="F162" s="10" t="s">
        <v>98</v>
      </c>
      <c r="G162" s="5" t="s">
        <v>520</v>
      </c>
      <c r="H162" s="5" t="s">
        <v>521</v>
      </c>
      <c r="I162" s="22" t="s">
        <v>14</v>
      </c>
      <c r="J162" s="21"/>
      <c r="K162" s="21"/>
      <c r="L162" s="21"/>
      <c r="M162" s="23"/>
    </row>
    <row r="163" customFormat="false" ht="15" hidden="false" customHeight="false" outlineLevel="0" collapsed="false">
      <c r="A163" s="4" t="s">
        <v>516</v>
      </c>
      <c r="B163" s="5" t="s">
        <v>71</v>
      </c>
      <c r="C163" s="5" t="s">
        <v>517</v>
      </c>
      <c r="D163" s="10" t="s">
        <v>227</v>
      </c>
      <c r="E163" s="10" t="n">
        <v>3</v>
      </c>
      <c r="F163" s="10" t="s">
        <v>98</v>
      </c>
      <c r="G163" s="5" t="s">
        <v>522</v>
      </c>
      <c r="H163" s="5" t="s">
        <v>523</v>
      </c>
      <c r="I163" s="22" t="s">
        <v>14</v>
      </c>
      <c r="J163" s="21"/>
      <c r="K163" s="21"/>
      <c r="L163" s="21"/>
      <c r="M163" s="23"/>
    </row>
    <row r="164" customFormat="false" ht="22.35" hidden="false" customHeight="false" outlineLevel="0" collapsed="false">
      <c r="A164" s="4" t="s">
        <v>524</v>
      </c>
      <c r="B164" s="5" t="s">
        <v>71</v>
      </c>
      <c r="C164" s="5" t="s">
        <v>525</v>
      </c>
      <c r="D164" s="10" t="s">
        <v>227</v>
      </c>
      <c r="E164" s="10" t="n">
        <v>1</v>
      </c>
      <c r="F164" s="10" t="s">
        <v>98</v>
      </c>
      <c r="G164" s="5" t="s">
        <v>526</v>
      </c>
      <c r="H164" s="5" t="s">
        <v>527</v>
      </c>
      <c r="I164" s="22" t="s">
        <v>14</v>
      </c>
      <c r="J164" s="21"/>
      <c r="K164" s="21"/>
      <c r="L164" s="21"/>
      <c r="M164" s="23"/>
    </row>
    <row r="165" customFormat="false" ht="22.35" hidden="false" customHeight="false" outlineLevel="0" collapsed="false">
      <c r="A165" s="4" t="s">
        <v>524</v>
      </c>
      <c r="B165" s="5" t="s">
        <v>71</v>
      </c>
      <c r="C165" s="5" t="s">
        <v>525</v>
      </c>
      <c r="D165" s="10" t="s">
        <v>227</v>
      </c>
      <c r="E165" s="10" t="n">
        <v>2</v>
      </c>
      <c r="F165" s="10" t="s">
        <v>98</v>
      </c>
      <c r="G165" s="5" t="s">
        <v>528</v>
      </c>
      <c r="H165" s="5" t="s">
        <v>529</v>
      </c>
      <c r="I165" s="22" t="s">
        <v>14</v>
      </c>
      <c r="J165" s="21"/>
      <c r="K165" s="21"/>
      <c r="L165" s="21"/>
      <c r="M165" s="23"/>
    </row>
    <row r="166" customFormat="false" ht="15" hidden="false" customHeight="false" outlineLevel="0" collapsed="false">
      <c r="A166" s="4" t="s">
        <v>524</v>
      </c>
      <c r="B166" s="5" t="s">
        <v>71</v>
      </c>
      <c r="C166" s="5" t="s">
        <v>525</v>
      </c>
      <c r="D166" s="10" t="s">
        <v>227</v>
      </c>
      <c r="E166" s="10" t="n">
        <v>3</v>
      </c>
      <c r="F166" s="10" t="s">
        <v>98</v>
      </c>
      <c r="G166" s="5" t="s">
        <v>530</v>
      </c>
      <c r="H166" s="5" t="s">
        <v>531</v>
      </c>
      <c r="I166" s="22" t="s">
        <v>14</v>
      </c>
      <c r="J166" s="21"/>
      <c r="K166" s="21"/>
      <c r="L166" s="21"/>
      <c r="M166" s="23"/>
    </row>
    <row r="167" customFormat="false" ht="22.35" hidden="false" customHeight="false" outlineLevel="0" collapsed="false">
      <c r="A167" s="4" t="s">
        <v>524</v>
      </c>
      <c r="B167" s="5" t="s">
        <v>71</v>
      </c>
      <c r="C167" s="5" t="s">
        <v>525</v>
      </c>
      <c r="D167" s="10" t="s">
        <v>227</v>
      </c>
      <c r="E167" s="10" t="n">
        <v>4</v>
      </c>
      <c r="F167" s="10" t="s">
        <v>98</v>
      </c>
      <c r="G167" s="5" t="s">
        <v>532</v>
      </c>
      <c r="H167" s="5" t="s">
        <v>533</v>
      </c>
      <c r="I167" s="22" t="s">
        <v>14</v>
      </c>
      <c r="J167" s="21"/>
      <c r="K167" s="21"/>
      <c r="L167" s="21"/>
      <c r="M167" s="23"/>
    </row>
    <row r="168" customFormat="false" ht="15" hidden="false" customHeight="false" outlineLevel="0" collapsed="false">
      <c r="A168" s="4" t="s">
        <v>524</v>
      </c>
      <c r="B168" s="5" t="s">
        <v>71</v>
      </c>
      <c r="C168" s="5" t="s">
        <v>525</v>
      </c>
      <c r="D168" s="10" t="s">
        <v>227</v>
      </c>
      <c r="E168" s="10" t="n">
        <v>5</v>
      </c>
      <c r="F168" s="10" t="s">
        <v>98</v>
      </c>
      <c r="G168" s="5" t="s">
        <v>534</v>
      </c>
      <c r="H168" s="5" t="s">
        <v>535</v>
      </c>
      <c r="I168" s="22" t="s">
        <v>14</v>
      </c>
      <c r="J168" s="21"/>
      <c r="K168" s="21"/>
      <c r="L168" s="21"/>
      <c r="M168" s="23"/>
    </row>
    <row r="169" customFormat="false" ht="32.8" hidden="false" customHeight="false" outlineLevel="0" collapsed="false">
      <c r="A169" s="4" t="s">
        <v>536</v>
      </c>
      <c r="B169" s="5" t="s">
        <v>72</v>
      </c>
      <c r="C169" s="5" t="s">
        <v>537</v>
      </c>
      <c r="D169" s="10" t="s">
        <v>157</v>
      </c>
      <c r="E169" s="10" t="n">
        <v>1</v>
      </c>
      <c r="F169" s="10" t="s">
        <v>98</v>
      </c>
      <c r="G169" s="5" t="s">
        <v>538</v>
      </c>
      <c r="H169" s="5" t="s">
        <v>539</v>
      </c>
      <c r="I169" s="22" t="s">
        <v>14</v>
      </c>
      <c r="J169" s="21"/>
      <c r="K169" s="21"/>
      <c r="L169" s="21"/>
      <c r="M169" s="23"/>
    </row>
    <row r="170" customFormat="false" ht="22.35" hidden="false" customHeight="false" outlineLevel="0" collapsed="false">
      <c r="A170" s="4" t="s">
        <v>536</v>
      </c>
      <c r="B170" s="5" t="s">
        <v>72</v>
      </c>
      <c r="C170" s="5" t="s">
        <v>537</v>
      </c>
      <c r="D170" s="10" t="s">
        <v>157</v>
      </c>
      <c r="E170" s="10" t="n">
        <v>2</v>
      </c>
      <c r="F170" s="10" t="s">
        <v>98</v>
      </c>
      <c r="G170" s="5" t="s">
        <v>540</v>
      </c>
      <c r="H170" s="5" t="s">
        <v>541</v>
      </c>
      <c r="I170" s="22" t="s">
        <v>14</v>
      </c>
      <c r="J170" s="21"/>
      <c r="K170" s="21"/>
      <c r="L170" s="21"/>
      <c r="M170" s="23"/>
    </row>
    <row r="171" customFormat="false" ht="22.35" hidden="false" customHeight="false" outlineLevel="0" collapsed="false">
      <c r="A171" s="4" t="s">
        <v>536</v>
      </c>
      <c r="B171" s="5" t="s">
        <v>72</v>
      </c>
      <c r="C171" s="5" t="s">
        <v>537</v>
      </c>
      <c r="D171" s="10" t="s">
        <v>157</v>
      </c>
      <c r="E171" s="10" t="n">
        <v>3</v>
      </c>
      <c r="F171" s="10" t="s">
        <v>98</v>
      </c>
      <c r="G171" s="5" t="s">
        <v>542</v>
      </c>
      <c r="H171" s="5" t="s">
        <v>543</v>
      </c>
      <c r="I171" s="22" t="s">
        <v>14</v>
      </c>
      <c r="J171" s="21"/>
      <c r="K171" s="21"/>
      <c r="L171" s="21"/>
      <c r="M171" s="23"/>
    </row>
    <row r="172" customFormat="false" ht="22.35" hidden="false" customHeight="false" outlineLevel="0" collapsed="false">
      <c r="A172" s="4" t="s">
        <v>536</v>
      </c>
      <c r="B172" s="5" t="s">
        <v>72</v>
      </c>
      <c r="C172" s="5" t="s">
        <v>537</v>
      </c>
      <c r="D172" s="10" t="s">
        <v>157</v>
      </c>
      <c r="E172" s="10" t="n">
        <v>4</v>
      </c>
      <c r="F172" s="10" t="s">
        <v>98</v>
      </c>
      <c r="G172" s="5" t="s">
        <v>544</v>
      </c>
      <c r="H172" s="5" t="s">
        <v>545</v>
      </c>
      <c r="I172" s="22" t="s">
        <v>14</v>
      </c>
      <c r="J172" s="21"/>
      <c r="K172" s="21"/>
      <c r="L172" s="21"/>
      <c r="M172" s="23"/>
    </row>
    <row r="173" customFormat="false" ht="22.35" hidden="false" customHeight="false" outlineLevel="0" collapsed="false">
      <c r="A173" s="4" t="s">
        <v>546</v>
      </c>
      <c r="B173" s="5" t="s">
        <v>72</v>
      </c>
      <c r="C173" s="5" t="s">
        <v>547</v>
      </c>
      <c r="D173" s="10" t="s">
        <v>157</v>
      </c>
      <c r="E173" s="10" t="n">
        <v>1</v>
      </c>
      <c r="F173" s="10" t="s">
        <v>101</v>
      </c>
      <c r="G173" s="5" t="s">
        <v>548</v>
      </c>
      <c r="H173" s="5" t="s">
        <v>549</v>
      </c>
      <c r="I173" s="22" t="s">
        <v>14</v>
      </c>
      <c r="J173" s="21"/>
      <c r="K173" s="21"/>
      <c r="L173" s="21"/>
      <c r="M173" s="23"/>
    </row>
    <row r="174" customFormat="false" ht="22.35" hidden="false" customHeight="false" outlineLevel="0" collapsed="false">
      <c r="A174" s="4" t="s">
        <v>546</v>
      </c>
      <c r="B174" s="5" t="s">
        <v>72</v>
      </c>
      <c r="C174" s="5" t="s">
        <v>547</v>
      </c>
      <c r="D174" s="10" t="s">
        <v>157</v>
      </c>
      <c r="E174" s="10" t="n">
        <v>2</v>
      </c>
      <c r="F174" s="10" t="s">
        <v>98</v>
      </c>
      <c r="G174" s="5" t="s">
        <v>550</v>
      </c>
      <c r="H174" s="5" t="s">
        <v>551</v>
      </c>
      <c r="I174" s="22" t="s">
        <v>14</v>
      </c>
      <c r="J174" s="21"/>
      <c r="K174" s="21"/>
      <c r="L174" s="21"/>
      <c r="M174" s="23"/>
    </row>
    <row r="175" customFormat="false" ht="22.35" hidden="false" customHeight="false" outlineLevel="0" collapsed="false">
      <c r="A175" s="4" t="s">
        <v>546</v>
      </c>
      <c r="B175" s="5" t="s">
        <v>72</v>
      </c>
      <c r="C175" s="5" t="s">
        <v>547</v>
      </c>
      <c r="D175" s="10" t="s">
        <v>157</v>
      </c>
      <c r="E175" s="10" t="n">
        <v>3</v>
      </c>
      <c r="F175" s="10" t="s">
        <v>98</v>
      </c>
      <c r="G175" s="5" t="s">
        <v>552</v>
      </c>
      <c r="H175" s="5" t="s">
        <v>553</v>
      </c>
      <c r="I175" s="22" t="s">
        <v>14</v>
      </c>
      <c r="J175" s="21"/>
      <c r="K175" s="21"/>
      <c r="L175" s="21"/>
      <c r="M175" s="23"/>
    </row>
    <row r="176" customFormat="false" ht="22.35" hidden="false" customHeight="false" outlineLevel="0" collapsed="false">
      <c r="A176" s="4" t="s">
        <v>546</v>
      </c>
      <c r="B176" s="5" t="s">
        <v>72</v>
      </c>
      <c r="C176" s="5" t="s">
        <v>547</v>
      </c>
      <c r="D176" s="10" t="s">
        <v>157</v>
      </c>
      <c r="E176" s="10" t="n">
        <v>4</v>
      </c>
      <c r="F176" s="10" t="s">
        <v>98</v>
      </c>
      <c r="G176" s="5" t="s">
        <v>554</v>
      </c>
      <c r="H176" s="5" t="s">
        <v>555</v>
      </c>
      <c r="I176" s="22" t="s">
        <v>14</v>
      </c>
      <c r="J176" s="21"/>
      <c r="K176" s="21"/>
      <c r="L176" s="21"/>
      <c r="M176" s="23"/>
    </row>
    <row r="177" customFormat="false" ht="22.35" hidden="false" customHeight="false" outlineLevel="0" collapsed="false">
      <c r="A177" s="4" t="s">
        <v>546</v>
      </c>
      <c r="B177" s="5" t="s">
        <v>72</v>
      </c>
      <c r="C177" s="5" t="s">
        <v>547</v>
      </c>
      <c r="D177" s="10" t="s">
        <v>157</v>
      </c>
      <c r="E177" s="10" t="n">
        <v>5</v>
      </c>
      <c r="F177" s="10" t="s">
        <v>101</v>
      </c>
      <c r="G177" s="5" t="s">
        <v>556</v>
      </c>
      <c r="H177" s="5" t="s">
        <v>557</v>
      </c>
      <c r="I177" s="22" t="s">
        <v>14</v>
      </c>
      <c r="J177" s="21"/>
      <c r="K177" s="21"/>
      <c r="L177" s="21"/>
      <c r="M177" s="23"/>
    </row>
    <row r="178" customFormat="false" ht="22.35" hidden="false" customHeight="false" outlineLevel="0" collapsed="false">
      <c r="A178" s="4" t="s">
        <v>546</v>
      </c>
      <c r="B178" s="5" t="s">
        <v>72</v>
      </c>
      <c r="C178" s="5" t="s">
        <v>547</v>
      </c>
      <c r="D178" s="10" t="s">
        <v>157</v>
      </c>
      <c r="E178" s="10" t="n">
        <v>6</v>
      </c>
      <c r="F178" s="10" t="s">
        <v>101</v>
      </c>
      <c r="G178" s="5" t="s">
        <v>558</v>
      </c>
      <c r="H178" s="5" t="s">
        <v>559</v>
      </c>
      <c r="I178" s="22" t="s">
        <v>14</v>
      </c>
      <c r="J178" s="21"/>
      <c r="K178" s="21"/>
      <c r="L178" s="21"/>
      <c r="M178" s="23"/>
    </row>
    <row r="179" customFormat="false" ht="22.35" hidden="false" customHeight="false" outlineLevel="0" collapsed="false">
      <c r="A179" s="4" t="s">
        <v>560</v>
      </c>
      <c r="B179" s="5" t="s">
        <v>72</v>
      </c>
      <c r="C179" s="5" t="s">
        <v>561</v>
      </c>
      <c r="D179" s="10" t="s">
        <v>157</v>
      </c>
      <c r="E179" s="10" t="n">
        <v>1</v>
      </c>
      <c r="F179" s="10" t="s">
        <v>98</v>
      </c>
      <c r="G179" s="5" t="s">
        <v>562</v>
      </c>
      <c r="H179" s="5" t="s">
        <v>563</v>
      </c>
      <c r="I179" s="22" t="s">
        <v>14</v>
      </c>
      <c r="J179" s="21"/>
      <c r="K179" s="21"/>
      <c r="L179" s="21"/>
      <c r="M179" s="23"/>
    </row>
    <row r="180" customFormat="false" ht="22.35" hidden="false" customHeight="false" outlineLevel="0" collapsed="false">
      <c r="A180" s="4" t="s">
        <v>560</v>
      </c>
      <c r="B180" s="5" t="s">
        <v>72</v>
      </c>
      <c r="C180" s="5" t="s">
        <v>561</v>
      </c>
      <c r="D180" s="10" t="s">
        <v>157</v>
      </c>
      <c r="E180" s="10" t="n">
        <v>2</v>
      </c>
      <c r="F180" s="10" t="s">
        <v>98</v>
      </c>
      <c r="G180" s="5" t="s">
        <v>564</v>
      </c>
      <c r="H180" s="5" t="s">
        <v>565</v>
      </c>
      <c r="I180" s="22" t="s">
        <v>14</v>
      </c>
      <c r="J180" s="21"/>
      <c r="K180" s="21"/>
      <c r="L180" s="21"/>
      <c r="M180" s="23"/>
    </row>
    <row r="181" customFormat="false" ht="15" hidden="false" customHeight="false" outlineLevel="0" collapsed="false">
      <c r="A181" s="4" t="s">
        <v>560</v>
      </c>
      <c r="B181" s="5" t="s">
        <v>72</v>
      </c>
      <c r="C181" s="5" t="s">
        <v>561</v>
      </c>
      <c r="D181" s="10" t="s">
        <v>157</v>
      </c>
      <c r="E181" s="10" t="n">
        <v>3</v>
      </c>
      <c r="F181" s="10" t="s">
        <v>98</v>
      </c>
      <c r="G181" s="5" t="s">
        <v>566</v>
      </c>
      <c r="H181" s="5" t="s">
        <v>567</v>
      </c>
      <c r="I181" s="22" t="s">
        <v>14</v>
      </c>
      <c r="J181" s="21"/>
      <c r="K181" s="21"/>
      <c r="L181" s="21"/>
      <c r="M181" s="23"/>
    </row>
    <row r="182" customFormat="false" ht="22.35" hidden="false" customHeight="false" outlineLevel="0" collapsed="false">
      <c r="A182" s="4" t="s">
        <v>560</v>
      </c>
      <c r="B182" s="5" t="s">
        <v>72</v>
      </c>
      <c r="C182" s="5" t="s">
        <v>561</v>
      </c>
      <c r="D182" s="10" t="s">
        <v>157</v>
      </c>
      <c r="E182" s="10" t="n">
        <v>4</v>
      </c>
      <c r="F182" s="10" t="s">
        <v>101</v>
      </c>
      <c r="G182" s="5" t="s">
        <v>568</v>
      </c>
      <c r="H182" s="5" t="s">
        <v>569</v>
      </c>
      <c r="I182" s="22" t="s">
        <v>14</v>
      </c>
      <c r="J182" s="21"/>
      <c r="K182" s="21"/>
      <c r="L182" s="21"/>
      <c r="M182" s="23"/>
    </row>
    <row r="183" customFormat="false" ht="22.35" hidden="false" customHeight="false" outlineLevel="0" collapsed="false">
      <c r="A183" s="4" t="s">
        <v>560</v>
      </c>
      <c r="B183" s="5" t="s">
        <v>72</v>
      </c>
      <c r="C183" s="5" t="s">
        <v>561</v>
      </c>
      <c r="D183" s="10" t="s">
        <v>157</v>
      </c>
      <c r="E183" s="10" t="n">
        <v>5</v>
      </c>
      <c r="F183" s="10" t="s">
        <v>101</v>
      </c>
      <c r="G183" s="5" t="s">
        <v>570</v>
      </c>
      <c r="H183" s="5" t="s">
        <v>571</v>
      </c>
      <c r="I183" s="22" t="s">
        <v>14</v>
      </c>
      <c r="J183" s="21"/>
      <c r="K183" s="21"/>
      <c r="L183" s="21"/>
      <c r="M183" s="23"/>
    </row>
    <row r="184" customFormat="false" ht="15" hidden="false" customHeight="false" outlineLevel="0" collapsed="false">
      <c r="A184" s="4" t="s">
        <v>560</v>
      </c>
      <c r="B184" s="5" t="s">
        <v>72</v>
      </c>
      <c r="C184" s="5" t="s">
        <v>561</v>
      </c>
      <c r="D184" s="10" t="s">
        <v>157</v>
      </c>
      <c r="E184" s="10" t="n">
        <v>6</v>
      </c>
      <c r="F184" s="10" t="s">
        <v>101</v>
      </c>
      <c r="G184" s="5" t="s">
        <v>572</v>
      </c>
      <c r="H184" s="5" t="s">
        <v>573</v>
      </c>
      <c r="I184" s="22" t="s">
        <v>14</v>
      </c>
      <c r="J184" s="21"/>
      <c r="K184" s="21"/>
      <c r="L184" s="21"/>
      <c r="M184" s="23"/>
    </row>
    <row r="185" customFormat="false" ht="22.35" hidden="false" customHeight="false" outlineLevel="0" collapsed="false">
      <c r="A185" s="4" t="s">
        <v>560</v>
      </c>
      <c r="B185" s="5" t="s">
        <v>72</v>
      </c>
      <c r="C185" s="5" t="s">
        <v>561</v>
      </c>
      <c r="D185" s="10" t="s">
        <v>157</v>
      </c>
      <c r="E185" s="10" t="n">
        <v>7</v>
      </c>
      <c r="F185" s="10" t="s">
        <v>98</v>
      </c>
      <c r="G185" s="5" t="s">
        <v>574</v>
      </c>
      <c r="H185" s="5" t="s">
        <v>575</v>
      </c>
      <c r="I185" s="22" t="s">
        <v>14</v>
      </c>
      <c r="J185" s="21"/>
      <c r="K185" s="21"/>
      <c r="L185" s="21"/>
      <c r="M185" s="23"/>
    </row>
    <row r="186" customFormat="false" ht="15" hidden="false" customHeight="false" outlineLevel="0" collapsed="false">
      <c r="A186" s="4" t="s">
        <v>560</v>
      </c>
      <c r="B186" s="5" t="s">
        <v>72</v>
      </c>
      <c r="C186" s="5" t="s">
        <v>561</v>
      </c>
      <c r="D186" s="10" t="s">
        <v>157</v>
      </c>
      <c r="E186" s="10" t="n">
        <v>8</v>
      </c>
      <c r="F186" s="10" t="s">
        <v>98</v>
      </c>
      <c r="G186" s="5" t="s">
        <v>576</v>
      </c>
      <c r="H186" s="5" t="s">
        <v>577</v>
      </c>
      <c r="I186" s="22" t="s">
        <v>14</v>
      </c>
      <c r="J186" s="21"/>
      <c r="K186" s="21"/>
      <c r="L186" s="21"/>
      <c r="M186" s="23"/>
    </row>
    <row r="187" customFormat="false" ht="22.35" hidden="false" customHeight="false" outlineLevel="0" collapsed="false">
      <c r="A187" s="4" t="s">
        <v>560</v>
      </c>
      <c r="B187" s="5" t="s">
        <v>72</v>
      </c>
      <c r="C187" s="5" t="s">
        <v>561</v>
      </c>
      <c r="D187" s="10" t="s">
        <v>157</v>
      </c>
      <c r="E187" s="10" t="n">
        <v>9</v>
      </c>
      <c r="F187" s="10" t="s">
        <v>98</v>
      </c>
      <c r="G187" s="5" t="s">
        <v>578</v>
      </c>
      <c r="H187" s="5" t="s">
        <v>579</v>
      </c>
      <c r="I187" s="22" t="s">
        <v>14</v>
      </c>
      <c r="J187" s="21"/>
      <c r="K187" s="21"/>
      <c r="L187" s="21"/>
      <c r="M187" s="23"/>
    </row>
    <row r="188" customFormat="false" ht="15" hidden="false" customHeight="false" outlineLevel="0" collapsed="false">
      <c r="A188" s="4" t="s">
        <v>580</v>
      </c>
      <c r="B188" s="5" t="s">
        <v>72</v>
      </c>
      <c r="C188" s="5" t="s">
        <v>581</v>
      </c>
      <c r="D188" s="10" t="s">
        <v>227</v>
      </c>
      <c r="E188" s="10" t="n">
        <v>1</v>
      </c>
      <c r="F188" s="10" t="s">
        <v>98</v>
      </c>
      <c r="G188" s="5" t="s">
        <v>582</v>
      </c>
      <c r="H188" s="5" t="s">
        <v>583</v>
      </c>
      <c r="I188" s="22" t="s">
        <v>14</v>
      </c>
      <c r="J188" s="21"/>
      <c r="K188" s="21"/>
      <c r="L188" s="21"/>
      <c r="M188" s="23"/>
    </row>
    <row r="189" customFormat="false" ht="22.35" hidden="false" customHeight="false" outlineLevel="0" collapsed="false">
      <c r="A189" s="4" t="s">
        <v>580</v>
      </c>
      <c r="B189" s="5" t="s">
        <v>72</v>
      </c>
      <c r="C189" s="5" t="s">
        <v>581</v>
      </c>
      <c r="D189" s="10" t="s">
        <v>227</v>
      </c>
      <c r="E189" s="10" t="n">
        <v>2</v>
      </c>
      <c r="F189" s="10" t="s">
        <v>98</v>
      </c>
      <c r="G189" s="5" t="s">
        <v>584</v>
      </c>
      <c r="H189" s="5" t="s">
        <v>585</v>
      </c>
      <c r="I189" s="22" t="s">
        <v>14</v>
      </c>
      <c r="J189" s="21"/>
      <c r="K189" s="21"/>
      <c r="L189" s="21"/>
      <c r="M189" s="23"/>
    </row>
    <row r="190" customFormat="false" ht="22.35" hidden="false" customHeight="false" outlineLevel="0" collapsed="false">
      <c r="A190" s="4" t="s">
        <v>580</v>
      </c>
      <c r="B190" s="5" t="s">
        <v>72</v>
      </c>
      <c r="C190" s="5" t="s">
        <v>581</v>
      </c>
      <c r="D190" s="10" t="s">
        <v>227</v>
      </c>
      <c r="E190" s="10" t="n">
        <v>3</v>
      </c>
      <c r="F190" s="10" t="s">
        <v>98</v>
      </c>
      <c r="G190" s="5" t="s">
        <v>586</v>
      </c>
      <c r="H190" s="5" t="s">
        <v>587</v>
      </c>
      <c r="I190" s="22" t="s">
        <v>14</v>
      </c>
      <c r="J190" s="21"/>
      <c r="K190" s="21"/>
      <c r="L190" s="21"/>
      <c r="M190" s="23"/>
    </row>
    <row r="191" customFormat="false" ht="15" hidden="false" customHeight="false" outlineLevel="0" collapsed="false">
      <c r="A191" s="4" t="s">
        <v>580</v>
      </c>
      <c r="B191" s="5" t="s">
        <v>72</v>
      </c>
      <c r="C191" s="5" t="s">
        <v>581</v>
      </c>
      <c r="D191" s="10" t="s">
        <v>227</v>
      </c>
      <c r="E191" s="10" t="n">
        <v>4</v>
      </c>
      <c r="F191" s="10" t="s">
        <v>98</v>
      </c>
      <c r="G191" s="5" t="s">
        <v>588</v>
      </c>
      <c r="H191" s="5" t="s">
        <v>589</v>
      </c>
      <c r="I191" s="22" t="s">
        <v>14</v>
      </c>
      <c r="J191" s="21"/>
      <c r="K191" s="21"/>
      <c r="L191" s="21"/>
      <c r="M191" s="23"/>
    </row>
    <row r="192" customFormat="false" ht="43.25" hidden="false" customHeight="false" outlineLevel="0" collapsed="false">
      <c r="A192" s="4" t="s">
        <v>580</v>
      </c>
      <c r="B192" s="5" t="s">
        <v>72</v>
      </c>
      <c r="C192" s="5" t="s">
        <v>581</v>
      </c>
      <c r="D192" s="10" t="s">
        <v>227</v>
      </c>
      <c r="E192" s="10" t="n">
        <v>5</v>
      </c>
      <c r="F192" s="10" t="s">
        <v>98</v>
      </c>
      <c r="G192" s="5" t="s">
        <v>590</v>
      </c>
      <c r="H192" s="5" t="s">
        <v>591</v>
      </c>
      <c r="I192" s="22" t="s">
        <v>14</v>
      </c>
      <c r="J192" s="21"/>
      <c r="K192" s="21"/>
      <c r="L192" s="21"/>
      <c r="M192" s="23"/>
    </row>
    <row r="193" customFormat="false" ht="22.35" hidden="false" customHeight="false" outlineLevel="0" collapsed="false">
      <c r="A193" s="4" t="s">
        <v>592</v>
      </c>
      <c r="B193" s="5" t="s">
        <v>73</v>
      </c>
      <c r="C193" s="5" t="s">
        <v>73</v>
      </c>
      <c r="D193" s="10" t="s">
        <v>227</v>
      </c>
      <c r="E193" s="10" t="n">
        <v>1</v>
      </c>
      <c r="F193" s="10" t="s">
        <v>98</v>
      </c>
      <c r="G193" s="5" t="s">
        <v>593</v>
      </c>
      <c r="H193" s="5" t="s">
        <v>594</v>
      </c>
      <c r="I193" s="22" t="s">
        <v>14</v>
      </c>
      <c r="J193" s="21"/>
      <c r="K193" s="21"/>
      <c r="L193" s="21"/>
      <c r="M193" s="23"/>
    </row>
    <row r="194" customFormat="false" ht="22.35" hidden="false" customHeight="false" outlineLevel="0" collapsed="false">
      <c r="A194" s="4" t="s">
        <v>592</v>
      </c>
      <c r="B194" s="5" t="s">
        <v>73</v>
      </c>
      <c r="C194" s="5" t="s">
        <v>73</v>
      </c>
      <c r="D194" s="10" t="s">
        <v>227</v>
      </c>
      <c r="E194" s="10" t="n">
        <v>2</v>
      </c>
      <c r="F194" s="10" t="s">
        <v>98</v>
      </c>
      <c r="G194" s="5" t="s">
        <v>595</v>
      </c>
      <c r="H194" s="5" t="s">
        <v>596</v>
      </c>
      <c r="I194" s="22" t="s">
        <v>14</v>
      </c>
      <c r="J194" s="21"/>
      <c r="K194" s="21"/>
      <c r="L194" s="21"/>
      <c r="M194" s="23"/>
    </row>
    <row r="195" customFormat="false" ht="22.35" hidden="false" customHeight="false" outlineLevel="0" collapsed="false">
      <c r="A195" s="4" t="s">
        <v>592</v>
      </c>
      <c r="B195" s="5" t="s">
        <v>73</v>
      </c>
      <c r="C195" s="5" t="s">
        <v>73</v>
      </c>
      <c r="D195" s="10" t="s">
        <v>227</v>
      </c>
      <c r="E195" s="10" t="n">
        <v>3</v>
      </c>
      <c r="F195" s="10" t="s">
        <v>98</v>
      </c>
      <c r="G195" s="5" t="s">
        <v>597</v>
      </c>
      <c r="H195" s="5" t="s">
        <v>598</v>
      </c>
      <c r="I195" s="22" t="s">
        <v>14</v>
      </c>
      <c r="J195" s="21"/>
      <c r="K195" s="21"/>
      <c r="L195" s="21"/>
      <c r="M195" s="23"/>
    </row>
    <row r="196" customFormat="false" ht="22.35" hidden="false" customHeight="false" outlineLevel="0" collapsed="false">
      <c r="A196" s="4" t="s">
        <v>592</v>
      </c>
      <c r="B196" s="5" t="s">
        <v>73</v>
      </c>
      <c r="C196" s="5" t="s">
        <v>73</v>
      </c>
      <c r="D196" s="10" t="s">
        <v>227</v>
      </c>
      <c r="E196" s="10" t="n">
        <v>4</v>
      </c>
      <c r="F196" s="10" t="s">
        <v>98</v>
      </c>
      <c r="G196" s="5" t="s">
        <v>599</v>
      </c>
      <c r="H196" s="5" t="s">
        <v>600</v>
      </c>
      <c r="I196" s="22" t="s">
        <v>14</v>
      </c>
      <c r="J196" s="21"/>
      <c r="K196" s="21"/>
      <c r="L196" s="21"/>
      <c r="M196" s="23"/>
    </row>
    <row r="197" customFormat="false" ht="22.35" hidden="false" customHeight="false" outlineLevel="0" collapsed="false">
      <c r="A197" s="4" t="s">
        <v>592</v>
      </c>
      <c r="B197" s="5" t="s">
        <v>73</v>
      </c>
      <c r="C197" s="5" t="s">
        <v>73</v>
      </c>
      <c r="D197" s="10" t="s">
        <v>227</v>
      </c>
      <c r="E197" s="10" t="n">
        <v>5</v>
      </c>
      <c r="F197" s="10" t="s">
        <v>98</v>
      </c>
      <c r="G197" s="5" t="s">
        <v>601</v>
      </c>
      <c r="H197" s="5" t="s">
        <v>602</v>
      </c>
      <c r="I197" s="22" t="s">
        <v>14</v>
      </c>
      <c r="J197" s="21"/>
      <c r="K197" s="21"/>
      <c r="L197" s="21"/>
      <c r="M197" s="23"/>
    </row>
    <row r="198" customFormat="false" ht="22.35" hidden="false" customHeight="false" outlineLevel="0" collapsed="false">
      <c r="A198" s="4" t="s">
        <v>592</v>
      </c>
      <c r="B198" s="5" t="s">
        <v>73</v>
      </c>
      <c r="C198" s="5" t="s">
        <v>73</v>
      </c>
      <c r="D198" s="10" t="s">
        <v>227</v>
      </c>
      <c r="E198" s="10" t="n">
        <v>6</v>
      </c>
      <c r="F198" s="10" t="s">
        <v>98</v>
      </c>
      <c r="G198" s="5" t="s">
        <v>603</v>
      </c>
      <c r="H198" s="5" t="s">
        <v>604</v>
      </c>
      <c r="I198" s="22" t="s">
        <v>14</v>
      </c>
      <c r="J198" s="21"/>
      <c r="K198" s="21"/>
      <c r="L198" s="21"/>
      <c r="M198" s="23"/>
    </row>
    <row r="199" customFormat="false" ht="22.35" hidden="false" customHeight="false" outlineLevel="0" collapsed="false">
      <c r="A199" s="4" t="s">
        <v>605</v>
      </c>
      <c r="B199" s="5" t="s">
        <v>74</v>
      </c>
      <c r="C199" s="5" t="s">
        <v>606</v>
      </c>
      <c r="D199" s="10" t="s">
        <v>157</v>
      </c>
      <c r="E199" s="10" t="n">
        <v>1</v>
      </c>
      <c r="F199" s="10" t="s">
        <v>98</v>
      </c>
      <c r="G199" s="5" t="s">
        <v>607</v>
      </c>
      <c r="H199" s="5" t="s">
        <v>608</v>
      </c>
      <c r="I199" s="22" t="s">
        <v>14</v>
      </c>
      <c r="J199" s="21"/>
      <c r="K199" s="21"/>
      <c r="L199" s="21"/>
      <c r="M199" s="23"/>
    </row>
    <row r="200" customFormat="false" ht="22.35" hidden="false" customHeight="false" outlineLevel="0" collapsed="false">
      <c r="A200" s="4" t="s">
        <v>605</v>
      </c>
      <c r="B200" s="5" t="s">
        <v>74</v>
      </c>
      <c r="C200" s="5" t="s">
        <v>606</v>
      </c>
      <c r="D200" s="10" t="s">
        <v>157</v>
      </c>
      <c r="E200" s="10" t="n">
        <v>2</v>
      </c>
      <c r="F200" s="10" t="s">
        <v>98</v>
      </c>
      <c r="G200" s="5" t="s">
        <v>609</v>
      </c>
      <c r="H200" s="5" t="s">
        <v>610</v>
      </c>
      <c r="I200" s="22" t="s">
        <v>14</v>
      </c>
      <c r="J200" s="21"/>
      <c r="K200" s="21"/>
      <c r="L200" s="21"/>
      <c r="M200" s="23"/>
    </row>
    <row r="201" customFormat="false" ht="15" hidden="false" customHeight="false" outlineLevel="0" collapsed="false">
      <c r="A201" s="4" t="s">
        <v>605</v>
      </c>
      <c r="B201" s="5" t="s">
        <v>74</v>
      </c>
      <c r="C201" s="5" t="s">
        <v>606</v>
      </c>
      <c r="D201" s="10" t="s">
        <v>157</v>
      </c>
      <c r="E201" s="10" t="n">
        <v>3</v>
      </c>
      <c r="F201" s="10" t="s">
        <v>98</v>
      </c>
      <c r="G201" s="5" t="s">
        <v>611</v>
      </c>
      <c r="H201" s="5" t="s">
        <v>612</v>
      </c>
      <c r="I201" s="22" t="s">
        <v>14</v>
      </c>
      <c r="J201" s="21"/>
      <c r="K201" s="21"/>
      <c r="L201" s="21"/>
      <c r="M201" s="23"/>
    </row>
    <row r="202" customFormat="false" ht="22.35" hidden="false" customHeight="false" outlineLevel="0" collapsed="false">
      <c r="A202" s="4" t="s">
        <v>613</v>
      </c>
      <c r="B202" s="5" t="s">
        <v>74</v>
      </c>
      <c r="C202" s="5" t="s">
        <v>614</v>
      </c>
      <c r="D202" s="10" t="s">
        <v>227</v>
      </c>
      <c r="E202" s="10" t="n">
        <v>1</v>
      </c>
      <c r="F202" s="10" t="s">
        <v>98</v>
      </c>
      <c r="G202" s="5" t="s">
        <v>615</v>
      </c>
      <c r="H202" s="5" t="s">
        <v>616</v>
      </c>
      <c r="I202" s="22" t="s">
        <v>14</v>
      </c>
      <c r="J202" s="21"/>
      <c r="K202" s="21"/>
      <c r="L202" s="21"/>
      <c r="M202" s="23"/>
    </row>
    <row r="203" customFormat="false" ht="22.35" hidden="false" customHeight="false" outlineLevel="0" collapsed="false">
      <c r="A203" s="4" t="s">
        <v>613</v>
      </c>
      <c r="B203" s="5" t="s">
        <v>74</v>
      </c>
      <c r="C203" s="5" t="s">
        <v>614</v>
      </c>
      <c r="D203" s="10" t="s">
        <v>227</v>
      </c>
      <c r="E203" s="10" t="n">
        <v>2</v>
      </c>
      <c r="F203" s="10" t="s">
        <v>98</v>
      </c>
      <c r="G203" s="5" t="s">
        <v>617</v>
      </c>
      <c r="H203" s="5" t="s">
        <v>618</v>
      </c>
      <c r="I203" s="22" t="s">
        <v>14</v>
      </c>
      <c r="J203" s="21"/>
      <c r="K203" s="21"/>
      <c r="L203" s="21"/>
      <c r="M203" s="23"/>
    </row>
    <row r="204" customFormat="false" ht="22.35" hidden="false" customHeight="false" outlineLevel="0" collapsed="false">
      <c r="A204" s="4" t="s">
        <v>613</v>
      </c>
      <c r="B204" s="5" t="s">
        <v>74</v>
      </c>
      <c r="C204" s="5" t="s">
        <v>614</v>
      </c>
      <c r="D204" s="10" t="s">
        <v>227</v>
      </c>
      <c r="E204" s="10" t="n">
        <v>3</v>
      </c>
      <c r="F204" s="10" t="s">
        <v>98</v>
      </c>
      <c r="G204" s="5" t="s">
        <v>619</v>
      </c>
      <c r="H204" s="5" t="s">
        <v>620</v>
      </c>
      <c r="I204" s="22" t="s">
        <v>14</v>
      </c>
      <c r="J204" s="21"/>
      <c r="K204" s="21"/>
      <c r="L204" s="21"/>
      <c r="M204" s="23"/>
    </row>
    <row r="205" customFormat="false" ht="22.35" hidden="false" customHeight="false" outlineLevel="0" collapsed="false">
      <c r="A205" s="4" t="s">
        <v>613</v>
      </c>
      <c r="B205" s="5" t="s">
        <v>74</v>
      </c>
      <c r="C205" s="5" t="s">
        <v>614</v>
      </c>
      <c r="D205" s="10" t="s">
        <v>227</v>
      </c>
      <c r="E205" s="10" t="n">
        <v>4</v>
      </c>
      <c r="F205" s="10" t="s">
        <v>98</v>
      </c>
      <c r="G205" s="5" t="s">
        <v>621</v>
      </c>
      <c r="H205" s="5" t="s">
        <v>622</v>
      </c>
      <c r="I205" s="22" t="s">
        <v>14</v>
      </c>
      <c r="J205" s="21"/>
      <c r="K205" s="21"/>
      <c r="L205" s="21"/>
      <c r="M205" s="23"/>
    </row>
    <row r="206" customFormat="false" ht="22.35" hidden="false" customHeight="false" outlineLevel="0" collapsed="false">
      <c r="A206" s="4" t="s">
        <v>623</v>
      </c>
      <c r="B206" s="5" t="s">
        <v>74</v>
      </c>
      <c r="C206" s="5" t="s">
        <v>624</v>
      </c>
      <c r="D206" s="10" t="s">
        <v>138</v>
      </c>
      <c r="E206" s="10" t="n">
        <v>1</v>
      </c>
      <c r="F206" s="10" t="s">
        <v>98</v>
      </c>
      <c r="G206" s="5" t="s">
        <v>625</v>
      </c>
      <c r="H206" s="5" t="s">
        <v>626</v>
      </c>
      <c r="I206" s="22" t="s">
        <v>14</v>
      </c>
      <c r="J206" s="21"/>
      <c r="K206" s="21"/>
      <c r="L206" s="21"/>
      <c r="M206" s="23"/>
    </row>
    <row r="207" customFormat="false" ht="22.35" hidden="false" customHeight="false" outlineLevel="0" collapsed="false">
      <c r="A207" s="4" t="s">
        <v>623</v>
      </c>
      <c r="B207" s="5" t="s">
        <v>74</v>
      </c>
      <c r="C207" s="5" t="s">
        <v>624</v>
      </c>
      <c r="D207" s="10" t="s">
        <v>138</v>
      </c>
      <c r="E207" s="10" t="n">
        <v>2</v>
      </c>
      <c r="F207" s="10" t="s">
        <v>98</v>
      </c>
      <c r="G207" s="5" t="s">
        <v>627</v>
      </c>
      <c r="H207" s="5" t="s">
        <v>628</v>
      </c>
      <c r="I207" s="22" t="s">
        <v>14</v>
      </c>
      <c r="J207" s="21"/>
      <c r="K207" s="21"/>
      <c r="L207" s="21"/>
      <c r="M207" s="23"/>
    </row>
    <row r="208" customFormat="false" ht="22.35" hidden="false" customHeight="false" outlineLevel="0" collapsed="false">
      <c r="A208" s="4" t="s">
        <v>623</v>
      </c>
      <c r="B208" s="5" t="s">
        <v>74</v>
      </c>
      <c r="C208" s="5" t="s">
        <v>624</v>
      </c>
      <c r="D208" s="10" t="s">
        <v>138</v>
      </c>
      <c r="E208" s="10" t="n">
        <v>3</v>
      </c>
      <c r="F208" s="10" t="s">
        <v>118</v>
      </c>
      <c r="G208" s="5" t="s">
        <v>629</v>
      </c>
      <c r="H208" s="5" t="s">
        <v>630</v>
      </c>
      <c r="I208" s="22" t="s">
        <v>14</v>
      </c>
      <c r="J208" s="21"/>
      <c r="K208" s="21"/>
      <c r="L208" s="21"/>
      <c r="M208" s="23"/>
    </row>
    <row r="209" customFormat="false" ht="22.35" hidden="false" customHeight="false" outlineLevel="0" collapsed="false">
      <c r="A209" s="4" t="s">
        <v>623</v>
      </c>
      <c r="B209" s="5" t="s">
        <v>74</v>
      </c>
      <c r="C209" s="5" t="s">
        <v>624</v>
      </c>
      <c r="D209" s="10" t="s">
        <v>138</v>
      </c>
      <c r="E209" s="10" t="n">
        <v>4</v>
      </c>
      <c r="F209" s="10" t="s">
        <v>118</v>
      </c>
      <c r="G209" s="5" t="s">
        <v>631</v>
      </c>
      <c r="H209" s="5" t="s">
        <v>632</v>
      </c>
      <c r="I209" s="22" t="s">
        <v>14</v>
      </c>
      <c r="J209" s="21"/>
      <c r="K209" s="21"/>
      <c r="L209" s="21"/>
      <c r="M209" s="23"/>
    </row>
    <row r="210" customFormat="false" ht="22.35" hidden="false" customHeight="false" outlineLevel="0" collapsed="false">
      <c r="A210" s="4" t="s">
        <v>623</v>
      </c>
      <c r="B210" s="5" t="s">
        <v>74</v>
      </c>
      <c r="C210" s="5" t="s">
        <v>624</v>
      </c>
      <c r="D210" s="10" t="s">
        <v>138</v>
      </c>
      <c r="E210" s="10" t="n">
        <v>5</v>
      </c>
      <c r="F210" s="10" t="s">
        <v>98</v>
      </c>
      <c r="G210" s="5" t="s">
        <v>633</v>
      </c>
      <c r="H210" s="5" t="s">
        <v>634</v>
      </c>
      <c r="I210" s="22" t="s">
        <v>14</v>
      </c>
      <c r="J210" s="21"/>
      <c r="K210" s="21"/>
      <c r="L210" s="21"/>
      <c r="M210" s="23"/>
    </row>
    <row r="211" customFormat="false" ht="22.35" hidden="false" customHeight="false" outlineLevel="0" collapsed="false">
      <c r="A211" s="4" t="s">
        <v>635</v>
      </c>
      <c r="B211" s="5" t="s">
        <v>74</v>
      </c>
      <c r="C211" s="5" t="s">
        <v>636</v>
      </c>
      <c r="D211" s="10" t="s">
        <v>227</v>
      </c>
      <c r="E211" s="10" t="n">
        <v>1</v>
      </c>
      <c r="F211" s="10" t="s">
        <v>98</v>
      </c>
      <c r="G211" s="5" t="s">
        <v>637</v>
      </c>
      <c r="H211" s="5" t="s">
        <v>638</v>
      </c>
      <c r="I211" s="22" t="s">
        <v>14</v>
      </c>
      <c r="J211" s="21"/>
      <c r="K211" s="21"/>
      <c r="L211" s="21"/>
      <c r="M211" s="23"/>
    </row>
    <row r="212" customFormat="false" ht="22.35" hidden="false" customHeight="false" outlineLevel="0" collapsed="false">
      <c r="A212" s="4" t="s">
        <v>635</v>
      </c>
      <c r="B212" s="5" t="s">
        <v>74</v>
      </c>
      <c r="C212" s="5" t="s">
        <v>636</v>
      </c>
      <c r="D212" s="10" t="s">
        <v>227</v>
      </c>
      <c r="E212" s="10" t="n">
        <v>2</v>
      </c>
      <c r="F212" s="10" t="s">
        <v>98</v>
      </c>
      <c r="G212" s="5" t="s">
        <v>639</v>
      </c>
      <c r="H212" s="5" t="s">
        <v>640</v>
      </c>
      <c r="I212" s="22" t="s">
        <v>14</v>
      </c>
      <c r="J212" s="21"/>
      <c r="K212" s="21"/>
      <c r="L212" s="21"/>
      <c r="M212" s="23"/>
    </row>
    <row r="213" customFormat="false" ht="15" hidden="false" customHeight="false" outlineLevel="0" collapsed="false">
      <c r="A213" s="4" t="s">
        <v>635</v>
      </c>
      <c r="B213" s="5" t="s">
        <v>74</v>
      </c>
      <c r="C213" s="5" t="s">
        <v>636</v>
      </c>
      <c r="D213" s="10" t="s">
        <v>227</v>
      </c>
      <c r="E213" s="10" t="n">
        <v>3</v>
      </c>
      <c r="F213" s="10" t="s">
        <v>98</v>
      </c>
      <c r="G213" s="5" t="s">
        <v>641</v>
      </c>
      <c r="H213" s="5" t="s">
        <v>511</v>
      </c>
      <c r="I213" s="22" t="s">
        <v>14</v>
      </c>
      <c r="J213" s="21"/>
      <c r="K213" s="21"/>
      <c r="L213" s="21"/>
      <c r="M213" s="23"/>
    </row>
    <row r="214" customFormat="false" ht="22.35" hidden="false" customHeight="false" outlineLevel="0" collapsed="false">
      <c r="A214" s="4" t="s">
        <v>642</v>
      </c>
      <c r="B214" s="5" t="s">
        <v>75</v>
      </c>
      <c r="C214" s="5" t="s">
        <v>643</v>
      </c>
      <c r="D214" s="10" t="s">
        <v>157</v>
      </c>
      <c r="E214" s="10" t="n">
        <v>1</v>
      </c>
      <c r="F214" s="10" t="s">
        <v>115</v>
      </c>
      <c r="G214" s="5" t="s">
        <v>644</v>
      </c>
      <c r="H214" s="5" t="s">
        <v>645</v>
      </c>
      <c r="I214" s="22" t="s">
        <v>14</v>
      </c>
      <c r="J214" s="21"/>
      <c r="K214" s="21"/>
      <c r="L214" s="21"/>
      <c r="M214" s="23"/>
    </row>
    <row r="215" customFormat="false" ht="22.35" hidden="false" customHeight="false" outlineLevel="0" collapsed="false">
      <c r="A215" s="4" t="s">
        <v>642</v>
      </c>
      <c r="B215" s="5" t="s">
        <v>75</v>
      </c>
      <c r="C215" s="5" t="s">
        <v>643</v>
      </c>
      <c r="D215" s="10" t="s">
        <v>157</v>
      </c>
      <c r="E215" s="10" t="n">
        <v>2</v>
      </c>
      <c r="F215" s="10" t="s">
        <v>115</v>
      </c>
      <c r="G215" s="5" t="s">
        <v>646</v>
      </c>
      <c r="H215" s="5" t="s">
        <v>647</v>
      </c>
      <c r="I215" s="22" t="s">
        <v>14</v>
      </c>
      <c r="J215" s="21"/>
      <c r="K215" s="21"/>
      <c r="L215" s="21"/>
      <c r="M215" s="23"/>
    </row>
    <row r="216" customFormat="false" ht="15" hidden="false" customHeight="false" outlineLevel="0" collapsed="false">
      <c r="A216" s="4" t="s">
        <v>642</v>
      </c>
      <c r="B216" s="5" t="s">
        <v>75</v>
      </c>
      <c r="C216" s="5" t="s">
        <v>643</v>
      </c>
      <c r="D216" s="10" t="s">
        <v>157</v>
      </c>
      <c r="E216" s="10" t="n">
        <v>3</v>
      </c>
      <c r="F216" s="10" t="s">
        <v>115</v>
      </c>
      <c r="G216" s="5" t="s">
        <v>648</v>
      </c>
      <c r="H216" s="5" t="s">
        <v>649</v>
      </c>
      <c r="I216" s="22" t="s">
        <v>14</v>
      </c>
      <c r="J216" s="21"/>
      <c r="K216" s="21"/>
      <c r="L216" s="21"/>
      <c r="M216" s="23"/>
    </row>
    <row r="217" customFormat="false" ht="32.8" hidden="false" customHeight="false" outlineLevel="0" collapsed="false">
      <c r="A217" s="4" t="s">
        <v>650</v>
      </c>
      <c r="B217" s="5" t="s">
        <v>76</v>
      </c>
      <c r="C217" s="5" t="s">
        <v>651</v>
      </c>
      <c r="D217" s="10" t="s">
        <v>157</v>
      </c>
      <c r="E217" s="10" t="n">
        <v>1</v>
      </c>
      <c r="F217" s="10" t="s">
        <v>98</v>
      </c>
      <c r="G217" s="5" t="s">
        <v>652</v>
      </c>
      <c r="H217" s="5" t="s">
        <v>653</v>
      </c>
      <c r="I217" s="22" t="s">
        <v>14</v>
      </c>
      <c r="J217" s="21"/>
      <c r="K217" s="21"/>
      <c r="L217" s="21"/>
      <c r="M217" s="23"/>
    </row>
    <row r="218" customFormat="false" ht="22.35" hidden="false" customHeight="false" outlineLevel="0" collapsed="false">
      <c r="A218" s="4" t="s">
        <v>650</v>
      </c>
      <c r="B218" s="5" t="s">
        <v>76</v>
      </c>
      <c r="C218" s="5" t="s">
        <v>651</v>
      </c>
      <c r="D218" s="10" t="s">
        <v>157</v>
      </c>
      <c r="E218" s="10" t="n">
        <v>2</v>
      </c>
      <c r="F218" s="10" t="s">
        <v>101</v>
      </c>
      <c r="G218" s="5" t="s">
        <v>654</v>
      </c>
      <c r="H218" s="5" t="s">
        <v>655</v>
      </c>
      <c r="I218" s="22" t="s">
        <v>14</v>
      </c>
      <c r="J218" s="21"/>
      <c r="K218" s="21"/>
      <c r="L218" s="21"/>
      <c r="M218" s="23"/>
    </row>
    <row r="219" customFormat="false" ht="22.35" hidden="false" customHeight="false" outlineLevel="0" collapsed="false">
      <c r="A219" s="4" t="s">
        <v>650</v>
      </c>
      <c r="B219" s="5" t="s">
        <v>76</v>
      </c>
      <c r="C219" s="5" t="s">
        <v>651</v>
      </c>
      <c r="D219" s="10" t="s">
        <v>157</v>
      </c>
      <c r="E219" s="10" t="n">
        <v>3</v>
      </c>
      <c r="F219" s="10" t="s">
        <v>98</v>
      </c>
      <c r="G219" s="5" t="s">
        <v>656</v>
      </c>
      <c r="H219" s="5" t="s">
        <v>657</v>
      </c>
      <c r="I219" s="22" t="s">
        <v>14</v>
      </c>
      <c r="J219" s="21"/>
      <c r="K219" s="21"/>
      <c r="L219" s="21"/>
      <c r="M219" s="23"/>
    </row>
    <row r="220" customFormat="false" ht="22.35" hidden="false" customHeight="false" outlineLevel="0" collapsed="false">
      <c r="A220" s="4" t="s">
        <v>650</v>
      </c>
      <c r="B220" s="5" t="s">
        <v>76</v>
      </c>
      <c r="C220" s="5" t="s">
        <v>651</v>
      </c>
      <c r="D220" s="10" t="s">
        <v>157</v>
      </c>
      <c r="E220" s="10" t="n">
        <v>4</v>
      </c>
      <c r="F220" s="10" t="s">
        <v>98</v>
      </c>
      <c r="G220" s="5" t="s">
        <v>403</v>
      </c>
      <c r="H220" s="5" t="s">
        <v>658</v>
      </c>
      <c r="I220" s="22" t="s">
        <v>14</v>
      </c>
      <c r="J220" s="21"/>
      <c r="K220" s="21"/>
      <c r="L220" s="21"/>
      <c r="M220" s="23"/>
    </row>
    <row r="221" customFormat="false" ht="22.35" hidden="false" customHeight="false" outlineLevel="0" collapsed="false">
      <c r="A221" s="4" t="s">
        <v>659</v>
      </c>
      <c r="B221" s="5" t="s">
        <v>76</v>
      </c>
      <c r="C221" s="5" t="s">
        <v>660</v>
      </c>
      <c r="D221" s="10" t="s">
        <v>138</v>
      </c>
      <c r="E221" s="10" t="n">
        <v>1</v>
      </c>
      <c r="F221" s="10" t="s">
        <v>98</v>
      </c>
      <c r="G221" s="5" t="s">
        <v>661</v>
      </c>
      <c r="H221" s="5" t="s">
        <v>662</v>
      </c>
      <c r="I221" s="22" t="s">
        <v>14</v>
      </c>
      <c r="J221" s="21"/>
      <c r="K221" s="21"/>
      <c r="L221" s="21"/>
      <c r="M221" s="23"/>
    </row>
    <row r="222" customFormat="false" ht="32.8" hidden="false" customHeight="false" outlineLevel="0" collapsed="false">
      <c r="A222" s="4" t="s">
        <v>659</v>
      </c>
      <c r="B222" s="5" t="s">
        <v>76</v>
      </c>
      <c r="C222" s="5" t="s">
        <v>660</v>
      </c>
      <c r="D222" s="10" t="s">
        <v>138</v>
      </c>
      <c r="E222" s="10" t="n">
        <v>2</v>
      </c>
      <c r="F222" s="10" t="s">
        <v>98</v>
      </c>
      <c r="G222" s="5" t="s">
        <v>663</v>
      </c>
      <c r="H222" s="5" t="s">
        <v>664</v>
      </c>
      <c r="I222" s="22" t="s">
        <v>14</v>
      </c>
      <c r="J222" s="21"/>
      <c r="K222" s="21"/>
      <c r="L222" s="21"/>
      <c r="M222" s="23"/>
    </row>
    <row r="223" customFormat="false" ht="22.35" hidden="false" customHeight="false" outlineLevel="0" collapsed="false">
      <c r="A223" s="4" t="s">
        <v>659</v>
      </c>
      <c r="B223" s="5" t="s">
        <v>76</v>
      </c>
      <c r="C223" s="5" t="s">
        <v>660</v>
      </c>
      <c r="D223" s="10" t="s">
        <v>138</v>
      </c>
      <c r="E223" s="10" t="n">
        <v>3</v>
      </c>
      <c r="F223" s="10" t="s">
        <v>98</v>
      </c>
      <c r="G223" s="5" t="s">
        <v>665</v>
      </c>
      <c r="H223" s="5" t="s">
        <v>666</v>
      </c>
      <c r="I223" s="22" t="s">
        <v>14</v>
      </c>
      <c r="J223" s="21"/>
      <c r="K223" s="21"/>
      <c r="L223" s="21"/>
      <c r="M223" s="23"/>
    </row>
    <row r="224" customFormat="false" ht="22.35" hidden="false" customHeight="false" outlineLevel="0" collapsed="false">
      <c r="A224" s="4" t="s">
        <v>659</v>
      </c>
      <c r="B224" s="5" t="s">
        <v>76</v>
      </c>
      <c r="C224" s="5" t="s">
        <v>660</v>
      </c>
      <c r="D224" s="10" t="s">
        <v>138</v>
      </c>
      <c r="E224" s="10" t="n">
        <v>4</v>
      </c>
      <c r="F224" s="10" t="s">
        <v>98</v>
      </c>
      <c r="G224" s="5" t="s">
        <v>667</v>
      </c>
      <c r="H224" s="5" t="s">
        <v>668</v>
      </c>
      <c r="I224" s="22" t="s">
        <v>14</v>
      </c>
      <c r="J224" s="21"/>
      <c r="K224" s="21"/>
      <c r="L224" s="21"/>
      <c r="M224" s="23"/>
    </row>
    <row r="225" customFormat="false" ht="22.35" hidden="false" customHeight="false" outlineLevel="0" collapsed="false">
      <c r="A225" s="4" t="s">
        <v>669</v>
      </c>
      <c r="B225" s="5" t="s">
        <v>76</v>
      </c>
      <c r="C225" s="5" t="s">
        <v>670</v>
      </c>
      <c r="D225" s="10" t="s">
        <v>157</v>
      </c>
      <c r="E225" s="10" t="n">
        <v>1</v>
      </c>
      <c r="F225" s="10" t="s">
        <v>98</v>
      </c>
      <c r="G225" s="5" t="s">
        <v>671</v>
      </c>
      <c r="H225" s="5" t="s">
        <v>672</v>
      </c>
      <c r="I225" s="22" t="s">
        <v>14</v>
      </c>
      <c r="J225" s="21"/>
      <c r="K225" s="21"/>
      <c r="L225" s="21"/>
      <c r="M225" s="23"/>
    </row>
    <row r="226" customFormat="false" ht="22.35" hidden="false" customHeight="false" outlineLevel="0" collapsed="false">
      <c r="A226" s="4" t="s">
        <v>669</v>
      </c>
      <c r="B226" s="5" t="s">
        <v>76</v>
      </c>
      <c r="C226" s="5" t="s">
        <v>670</v>
      </c>
      <c r="D226" s="10" t="s">
        <v>157</v>
      </c>
      <c r="E226" s="10" t="n">
        <v>2</v>
      </c>
      <c r="F226" s="10" t="s">
        <v>109</v>
      </c>
      <c r="G226" s="5" t="s">
        <v>673</v>
      </c>
      <c r="H226" s="5" t="s">
        <v>674</v>
      </c>
      <c r="I226" s="22" t="s">
        <v>14</v>
      </c>
      <c r="J226" s="21"/>
      <c r="K226" s="21"/>
      <c r="L226" s="21"/>
      <c r="M226" s="23"/>
    </row>
    <row r="227" customFormat="false" ht="22.35" hidden="false" customHeight="false" outlineLevel="0" collapsed="false">
      <c r="A227" s="4" t="s">
        <v>669</v>
      </c>
      <c r="B227" s="5" t="s">
        <v>76</v>
      </c>
      <c r="C227" s="5" t="s">
        <v>670</v>
      </c>
      <c r="D227" s="10" t="s">
        <v>157</v>
      </c>
      <c r="E227" s="10" t="n">
        <v>3</v>
      </c>
      <c r="F227" s="10" t="s">
        <v>98</v>
      </c>
      <c r="G227" s="5" t="s">
        <v>675</v>
      </c>
      <c r="H227" s="5" t="s">
        <v>676</v>
      </c>
      <c r="I227" s="22" t="s">
        <v>14</v>
      </c>
      <c r="J227" s="21"/>
      <c r="K227" s="21"/>
      <c r="L227" s="21"/>
      <c r="M227" s="23"/>
    </row>
    <row r="228" customFormat="false" ht="22.35" hidden="false" customHeight="false" outlineLevel="0" collapsed="false">
      <c r="A228" s="4" t="s">
        <v>669</v>
      </c>
      <c r="B228" s="5" t="s">
        <v>76</v>
      </c>
      <c r="C228" s="5" t="s">
        <v>670</v>
      </c>
      <c r="D228" s="10" t="s">
        <v>157</v>
      </c>
      <c r="E228" s="10" t="n">
        <v>4</v>
      </c>
      <c r="F228" s="10" t="s">
        <v>98</v>
      </c>
      <c r="G228" s="5" t="s">
        <v>677</v>
      </c>
      <c r="H228" s="5" t="s">
        <v>678</v>
      </c>
      <c r="I228" s="22" t="s">
        <v>14</v>
      </c>
      <c r="J228" s="21"/>
      <c r="K228" s="21"/>
      <c r="L228" s="21"/>
      <c r="M228" s="23"/>
    </row>
    <row r="229" customFormat="false" ht="22.35" hidden="false" customHeight="false" outlineLevel="0" collapsed="false">
      <c r="A229" s="4" t="s">
        <v>679</v>
      </c>
      <c r="B229" s="5" t="s">
        <v>76</v>
      </c>
      <c r="C229" s="5" t="s">
        <v>680</v>
      </c>
      <c r="D229" s="10" t="s">
        <v>227</v>
      </c>
      <c r="E229" s="10" t="n">
        <v>1</v>
      </c>
      <c r="F229" s="10" t="s">
        <v>98</v>
      </c>
      <c r="G229" s="5" t="s">
        <v>681</v>
      </c>
      <c r="H229" s="5" t="s">
        <v>682</v>
      </c>
      <c r="I229" s="22" t="s">
        <v>14</v>
      </c>
      <c r="J229" s="21"/>
      <c r="K229" s="21"/>
      <c r="L229" s="21"/>
      <c r="M229" s="23"/>
    </row>
    <row r="230" customFormat="false" ht="22.35" hidden="false" customHeight="false" outlineLevel="0" collapsed="false">
      <c r="A230" s="4" t="s">
        <v>679</v>
      </c>
      <c r="B230" s="5" t="s">
        <v>76</v>
      </c>
      <c r="C230" s="5" t="s">
        <v>680</v>
      </c>
      <c r="D230" s="10" t="s">
        <v>227</v>
      </c>
      <c r="E230" s="10" t="n">
        <v>2</v>
      </c>
      <c r="F230" s="10" t="s">
        <v>98</v>
      </c>
      <c r="G230" s="5" t="s">
        <v>683</v>
      </c>
      <c r="H230" s="5" t="s">
        <v>684</v>
      </c>
      <c r="I230" s="22" t="s">
        <v>14</v>
      </c>
      <c r="J230" s="21"/>
      <c r="K230" s="21"/>
      <c r="L230" s="21"/>
      <c r="M230" s="23"/>
    </row>
    <row r="231" customFormat="false" ht="22.35" hidden="false" customHeight="false" outlineLevel="0" collapsed="false">
      <c r="A231" s="4" t="s">
        <v>679</v>
      </c>
      <c r="B231" s="5" t="s">
        <v>76</v>
      </c>
      <c r="C231" s="5" t="s">
        <v>680</v>
      </c>
      <c r="D231" s="10" t="s">
        <v>227</v>
      </c>
      <c r="E231" s="10" t="n">
        <v>3</v>
      </c>
      <c r="F231" s="10" t="s">
        <v>98</v>
      </c>
      <c r="G231" s="5" t="s">
        <v>685</v>
      </c>
      <c r="H231" s="5" t="s">
        <v>686</v>
      </c>
      <c r="I231" s="22" t="s">
        <v>14</v>
      </c>
      <c r="J231" s="21"/>
      <c r="K231" s="21"/>
      <c r="L231" s="21"/>
      <c r="M231" s="23"/>
    </row>
    <row r="232" customFormat="false" ht="22.35" hidden="false" customHeight="false" outlineLevel="0" collapsed="false">
      <c r="A232" s="4" t="s">
        <v>679</v>
      </c>
      <c r="B232" s="5" t="s">
        <v>76</v>
      </c>
      <c r="C232" s="5" t="s">
        <v>680</v>
      </c>
      <c r="D232" s="10" t="s">
        <v>227</v>
      </c>
      <c r="E232" s="10" t="n">
        <v>4</v>
      </c>
      <c r="F232" s="10" t="s">
        <v>98</v>
      </c>
      <c r="G232" s="5" t="s">
        <v>687</v>
      </c>
      <c r="H232" s="5" t="s">
        <v>688</v>
      </c>
      <c r="I232" s="22" t="s">
        <v>14</v>
      </c>
      <c r="J232" s="21"/>
      <c r="K232" s="21"/>
      <c r="L232" s="21"/>
      <c r="M232" s="23"/>
    </row>
    <row r="233" customFormat="false" ht="22.35" hidden="false" customHeight="false" outlineLevel="0" collapsed="false">
      <c r="A233" s="4" t="s">
        <v>689</v>
      </c>
      <c r="B233" s="5" t="s">
        <v>77</v>
      </c>
      <c r="C233" s="5" t="s">
        <v>690</v>
      </c>
      <c r="D233" s="10" t="s">
        <v>227</v>
      </c>
      <c r="E233" s="10" t="n">
        <v>1</v>
      </c>
      <c r="F233" s="10" t="s">
        <v>691</v>
      </c>
      <c r="G233" s="5" t="s">
        <v>692</v>
      </c>
      <c r="H233" s="5" t="s">
        <v>693</v>
      </c>
      <c r="I233" s="22" t="s">
        <v>14</v>
      </c>
      <c r="J233" s="21"/>
      <c r="K233" s="21"/>
      <c r="L233" s="21"/>
      <c r="M233" s="23"/>
    </row>
    <row r="234" customFormat="false" ht="22.35" hidden="false" customHeight="false" outlineLevel="0" collapsed="false">
      <c r="A234" s="4" t="s">
        <v>689</v>
      </c>
      <c r="B234" s="5" t="s">
        <v>77</v>
      </c>
      <c r="C234" s="5" t="s">
        <v>690</v>
      </c>
      <c r="D234" s="10" t="s">
        <v>227</v>
      </c>
      <c r="E234" s="10" t="n">
        <v>2</v>
      </c>
      <c r="F234" s="10" t="s">
        <v>691</v>
      </c>
      <c r="G234" s="5" t="s">
        <v>694</v>
      </c>
      <c r="H234" s="5" t="s">
        <v>695</v>
      </c>
      <c r="I234" s="22" t="s">
        <v>14</v>
      </c>
      <c r="J234" s="21"/>
      <c r="K234" s="21"/>
      <c r="L234" s="21"/>
      <c r="M234" s="23"/>
    </row>
    <row r="235" customFormat="false" ht="15" hidden="false" customHeight="false" outlineLevel="0" collapsed="false">
      <c r="A235" s="4" t="s">
        <v>689</v>
      </c>
      <c r="B235" s="5" t="s">
        <v>77</v>
      </c>
      <c r="C235" s="5" t="s">
        <v>690</v>
      </c>
      <c r="D235" s="10" t="s">
        <v>227</v>
      </c>
      <c r="E235" s="10" t="n">
        <v>3</v>
      </c>
      <c r="F235" s="10" t="s">
        <v>691</v>
      </c>
      <c r="G235" s="5" t="s">
        <v>696</v>
      </c>
      <c r="H235" s="5" t="s">
        <v>697</v>
      </c>
      <c r="I235" s="22" t="s">
        <v>14</v>
      </c>
      <c r="J235" s="21"/>
      <c r="K235" s="21"/>
      <c r="L235" s="21"/>
      <c r="M235" s="23"/>
    </row>
    <row r="236" customFormat="false" ht="32.8" hidden="false" customHeight="false" outlineLevel="0" collapsed="false">
      <c r="A236" s="4" t="s">
        <v>698</v>
      </c>
      <c r="B236" s="5" t="s">
        <v>77</v>
      </c>
      <c r="C236" s="5" t="s">
        <v>699</v>
      </c>
      <c r="D236" s="10" t="s">
        <v>227</v>
      </c>
      <c r="E236" s="10" t="n">
        <v>1</v>
      </c>
      <c r="F236" s="10" t="s">
        <v>98</v>
      </c>
      <c r="G236" s="5" t="s">
        <v>700</v>
      </c>
      <c r="H236" s="5" t="s">
        <v>701</v>
      </c>
      <c r="I236" s="22" t="s">
        <v>14</v>
      </c>
      <c r="J236" s="21"/>
      <c r="K236" s="21"/>
      <c r="L236" s="21"/>
      <c r="M236" s="23"/>
    </row>
    <row r="237" customFormat="false" ht="22.35" hidden="false" customHeight="false" outlineLevel="0" collapsed="false">
      <c r="A237" s="4" t="s">
        <v>698</v>
      </c>
      <c r="B237" s="5" t="s">
        <v>77</v>
      </c>
      <c r="C237" s="5" t="s">
        <v>699</v>
      </c>
      <c r="D237" s="10" t="s">
        <v>227</v>
      </c>
      <c r="E237" s="10" t="n">
        <v>2</v>
      </c>
      <c r="F237" s="10" t="s">
        <v>98</v>
      </c>
      <c r="G237" s="5" t="s">
        <v>702</v>
      </c>
      <c r="H237" s="5" t="s">
        <v>703</v>
      </c>
      <c r="I237" s="22" t="s">
        <v>14</v>
      </c>
      <c r="J237" s="21"/>
      <c r="K237" s="21"/>
      <c r="L237" s="21"/>
      <c r="M237" s="23"/>
    </row>
    <row r="238" customFormat="false" ht="22.35" hidden="false" customHeight="false" outlineLevel="0" collapsed="false">
      <c r="A238" s="4" t="s">
        <v>698</v>
      </c>
      <c r="B238" s="5" t="s">
        <v>77</v>
      </c>
      <c r="C238" s="5" t="s">
        <v>699</v>
      </c>
      <c r="D238" s="10" t="s">
        <v>227</v>
      </c>
      <c r="E238" s="10" t="n">
        <v>3</v>
      </c>
      <c r="F238" s="10" t="s">
        <v>105</v>
      </c>
      <c r="G238" s="5" t="s">
        <v>704</v>
      </c>
      <c r="H238" s="5" t="s">
        <v>705</v>
      </c>
      <c r="I238" s="22" t="s">
        <v>14</v>
      </c>
      <c r="J238" s="21"/>
      <c r="K238" s="21"/>
      <c r="L238" s="21"/>
      <c r="M238" s="23"/>
    </row>
    <row r="239" customFormat="false" ht="32.8" hidden="false" customHeight="false" outlineLevel="0" collapsed="false">
      <c r="A239" s="4" t="s">
        <v>698</v>
      </c>
      <c r="B239" s="5" t="s">
        <v>77</v>
      </c>
      <c r="C239" s="5" t="s">
        <v>699</v>
      </c>
      <c r="D239" s="10" t="s">
        <v>227</v>
      </c>
      <c r="E239" s="10" t="n">
        <v>4</v>
      </c>
      <c r="F239" s="10" t="s">
        <v>98</v>
      </c>
      <c r="G239" s="5" t="s">
        <v>706</v>
      </c>
      <c r="H239" s="5" t="s">
        <v>707</v>
      </c>
      <c r="I239" s="22" t="s">
        <v>14</v>
      </c>
      <c r="J239" s="21"/>
      <c r="K239" s="21"/>
      <c r="L239" s="21"/>
      <c r="M239" s="23"/>
    </row>
  </sheetData>
  <autoFilter ref="A4:M239"/>
  <conditionalFormatting sqref="I5:I239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"KO"</formula>
    </cfRule>
    <cfRule type="cellIs" priority="4" operator="equal" aboveAverage="0" equalAverage="0" bottom="0" percent="0" rank="0" text="" dxfId="7">
      <formula>"Bloqué"</formula>
    </cfRule>
  </conditionalFormatting>
  <dataValidations count="2">
    <dataValidation allowBlank="false" error="Choisir : Non testé, OK, KO, Bloqué" errorStyle="stop" errorTitle="Statut" operator="between" showDropDown="false" showErrorMessage="true" showInputMessage="false" sqref="I5:I239" type="list">
      <formula1>"Non testé,OK,KO,Bloqué"</formula1>
      <formula2>0</formula2>
    </dataValidation>
    <dataValidation allowBlank="true" error="Saisir une date (JJ/MM/AAAA)." errorStyle="stop" operator="greaterThan" showDropDown="false" showErrorMessage="true" showInputMessage="false" sqref="M5:M239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418A"/>
    <pageSetUpPr fitToPage="true"/>
  </sheetPr>
  <dimension ref="A1:N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40"/>
    <col collapsed="false" customWidth="true" hidden="false" outlineLevel="0" max="8" min="7" style="0" width="32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30"/>
  </cols>
  <sheetData>
    <row r="1" customFormat="false" ht="19.7" hidden="false" customHeight="false" outlineLevel="0" collapsed="false">
      <c r="A1" s="1" t="s">
        <v>708</v>
      </c>
    </row>
    <row r="2" customFormat="false" ht="15" hidden="false" customHeight="false" outlineLevel="0" collapsed="false">
      <c r="A2" s="2" t="s">
        <v>709</v>
      </c>
    </row>
    <row r="4" customFormat="false" ht="30" hidden="false" customHeight="true" outlineLevel="0" collapsed="false">
      <c r="A4" s="20" t="s">
        <v>710</v>
      </c>
      <c r="B4" s="20" t="s">
        <v>135</v>
      </c>
      <c r="C4" s="20" t="s">
        <v>134</v>
      </c>
      <c r="D4" s="20" t="s">
        <v>125</v>
      </c>
      <c r="E4" s="20" t="s">
        <v>127</v>
      </c>
      <c r="F4" s="20" t="s">
        <v>34</v>
      </c>
      <c r="G4" s="20" t="s">
        <v>130</v>
      </c>
      <c r="H4" s="20" t="s">
        <v>711</v>
      </c>
      <c r="I4" s="20" t="s">
        <v>79</v>
      </c>
      <c r="J4" s="20" t="s">
        <v>131</v>
      </c>
      <c r="K4" s="20" t="s">
        <v>712</v>
      </c>
      <c r="L4" s="20" t="s">
        <v>713</v>
      </c>
      <c r="M4" s="20" t="s">
        <v>714</v>
      </c>
      <c r="N4" s="20" t="s">
        <v>715</v>
      </c>
    </row>
    <row r="5" customFormat="false" ht="15" hidden="false" customHeight="false" outlineLevel="0" collapsed="false">
      <c r="A5" s="21"/>
      <c r="B5" s="23"/>
      <c r="C5" s="21"/>
      <c r="D5" s="21"/>
      <c r="E5" s="21"/>
      <c r="F5" s="21"/>
      <c r="G5" s="21"/>
      <c r="H5" s="21"/>
      <c r="I5" s="21"/>
      <c r="J5" s="21"/>
      <c r="K5" s="21"/>
      <c r="L5" s="21"/>
      <c r="M5" s="23"/>
      <c r="N5" s="21"/>
    </row>
    <row r="6" customFormat="false" ht="15" hidden="false" customHeight="false" outlineLevel="0" collapsed="false">
      <c r="A6" s="21"/>
      <c r="B6" s="23"/>
      <c r="C6" s="21"/>
      <c r="D6" s="21"/>
      <c r="E6" s="21"/>
      <c r="F6" s="21"/>
      <c r="G6" s="21"/>
      <c r="H6" s="21"/>
      <c r="I6" s="21"/>
      <c r="J6" s="21"/>
      <c r="K6" s="21"/>
      <c r="L6" s="21"/>
      <c r="M6" s="23"/>
      <c r="N6" s="21"/>
    </row>
    <row r="7" customFormat="false" ht="15" hidden="false" customHeight="false" outlineLevel="0" collapsed="false">
      <c r="A7" s="21"/>
      <c r="B7" s="23"/>
      <c r="C7" s="21"/>
      <c r="D7" s="21"/>
      <c r="E7" s="21"/>
      <c r="F7" s="21"/>
      <c r="G7" s="21"/>
      <c r="H7" s="21"/>
      <c r="I7" s="21"/>
      <c r="J7" s="21"/>
      <c r="K7" s="21"/>
      <c r="L7" s="21"/>
      <c r="M7" s="23"/>
      <c r="N7" s="21"/>
    </row>
    <row r="8" customFormat="false" ht="15" hidden="false" customHeight="false" outlineLevel="0" collapsed="false">
      <c r="A8" s="21"/>
      <c r="B8" s="23"/>
      <c r="C8" s="21"/>
      <c r="D8" s="21"/>
      <c r="E8" s="21"/>
      <c r="F8" s="21"/>
      <c r="G8" s="21"/>
      <c r="H8" s="21"/>
      <c r="I8" s="21"/>
      <c r="J8" s="21"/>
      <c r="K8" s="21"/>
      <c r="L8" s="21"/>
      <c r="M8" s="23"/>
      <c r="N8" s="21"/>
    </row>
    <row r="9" customFormat="false" ht="15" hidden="false" customHeight="false" outlineLevel="0" collapsed="false">
      <c r="A9" s="21"/>
      <c r="B9" s="23"/>
      <c r="C9" s="21"/>
      <c r="D9" s="21"/>
      <c r="E9" s="21"/>
      <c r="F9" s="21"/>
      <c r="G9" s="21"/>
      <c r="H9" s="21"/>
      <c r="I9" s="21"/>
      <c r="J9" s="21"/>
      <c r="K9" s="21"/>
      <c r="L9" s="21"/>
      <c r="M9" s="23"/>
      <c r="N9" s="21"/>
    </row>
    <row r="10" customFormat="false" ht="15" hidden="false" customHeight="false" outlineLevel="0" collapsed="false">
      <c r="A10" s="21"/>
      <c r="B10" s="23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3"/>
      <c r="N10" s="21"/>
    </row>
    <row r="11" customFormat="false" ht="15" hidden="false" customHeight="false" outlineLevel="0" collapsed="false">
      <c r="A11" s="21"/>
      <c r="B11" s="23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3"/>
      <c r="N11" s="21"/>
    </row>
    <row r="12" customFormat="false" ht="15" hidden="false" customHeight="false" outlineLevel="0" collapsed="false">
      <c r="A12" s="21"/>
      <c r="B12" s="23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3"/>
      <c r="N12" s="21"/>
    </row>
    <row r="13" customFormat="false" ht="15" hidden="false" customHeight="false" outlineLevel="0" collapsed="false">
      <c r="A13" s="21"/>
      <c r="B13" s="23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3"/>
      <c r="N13" s="21"/>
    </row>
    <row r="14" customFormat="false" ht="15" hidden="false" customHeight="false" outlineLevel="0" collapsed="false">
      <c r="A14" s="21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3"/>
      <c r="N14" s="21"/>
    </row>
    <row r="15" customFormat="false" ht="15" hidden="false" customHeight="false" outlineLevel="0" collapsed="false">
      <c r="A15" s="21"/>
      <c r="B15" s="23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3"/>
      <c r="N15" s="21"/>
    </row>
    <row r="16" customFormat="false" ht="15" hidden="false" customHeight="false" outlineLevel="0" collapsed="false">
      <c r="A16" s="21"/>
      <c r="B16" s="23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3"/>
      <c r="N16" s="21"/>
    </row>
    <row r="17" customFormat="false" ht="15" hidden="false" customHeight="false" outlineLevel="0" collapsed="false">
      <c r="A17" s="21"/>
      <c r="B17" s="23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3"/>
      <c r="N17" s="21"/>
    </row>
    <row r="18" customFormat="false" ht="15" hidden="false" customHeight="false" outlineLevel="0" collapsed="false">
      <c r="A18" s="21"/>
      <c r="B18" s="23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3"/>
      <c r="N18" s="21"/>
    </row>
    <row r="19" customFormat="false" ht="15" hidden="false" customHeight="false" outlineLevel="0" collapsed="false">
      <c r="A19" s="21"/>
      <c r="B19" s="23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3"/>
      <c r="N19" s="21"/>
    </row>
    <row r="20" customFormat="false" ht="15" hidden="false" customHeight="false" outlineLevel="0" collapsed="false">
      <c r="A20" s="21"/>
      <c r="B20" s="23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3"/>
      <c r="N20" s="21"/>
    </row>
    <row r="21" customFormat="false" ht="15" hidden="false" customHeight="false" outlineLevel="0" collapsed="false">
      <c r="A21" s="21"/>
      <c r="B21" s="23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3"/>
      <c r="N21" s="21"/>
    </row>
    <row r="22" customFormat="false" ht="15" hidden="false" customHeight="false" outlineLevel="0" collapsed="false">
      <c r="A22" s="21"/>
      <c r="B22" s="23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3"/>
      <c r="N22" s="21"/>
    </row>
    <row r="23" customFormat="false" ht="15" hidden="false" customHeight="false" outlineLevel="0" collapsed="false">
      <c r="A23" s="21"/>
      <c r="B23" s="23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3"/>
      <c r="N23" s="21"/>
    </row>
    <row r="24" customFormat="false" ht="15" hidden="false" customHeight="false" outlineLevel="0" collapsed="false">
      <c r="A24" s="21"/>
      <c r="B24" s="23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3"/>
      <c r="N24" s="21"/>
    </row>
    <row r="25" customFormat="false" ht="15" hidden="false" customHeight="false" outlineLevel="0" collapsed="false">
      <c r="A25" s="21"/>
      <c r="B25" s="23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3"/>
      <c r="N25" s="21"/>
    </row>
    <row r="26" customFormat="false" ht="15" hidden="false" customHeight="false" outlineLevel="0" collapsed="false">
      <c r="A26" s="21"/>
      <c r="B26" s="23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3"/>
      <c r="N26" s="21"/>
    </row>
    <row r="27" customFormat="false" ht="15" hidden="false" customHeight="false" outlineLevel="0" collapsed="false">
      <c r="A27" s="21"/>
      <c r="B27" s="23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3"/>
      <c r="N27" s="21"/>
    </row>
    <row r="28" customFormat="false" ht="15" hidden="false" customHeight="false" outlineLevel="0" collapsed="false">
      <c r="A28" s="21"/>
      <c r="B28" s="23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3"/>
      <c r="N28" s="21"/>
    </row>
    <row r="29" customFormat="false" ht="15" hidden="false" customHeight="false" outlineLevel="0" collapsed="false">
      <c r="A29" s="21"/>
      <c r="B29" s="23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3"/>
      <c r="N29" s="21"/>
    </row>
    <row r="30" customFormat="false" ht="15" hidden="false" customHeight="false" outlineLevel="0" collapsed="false">
      <c r="A30" s="21"/>
      <c r="B30" s="23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3"/>
      <c r="N30" s="21"/>
    </row>
    <row r="31" customFormat="false" ht="15" hidden="false" customHeight="false" outlineLevel="0" collapsed="false">
      <c r="A31" s="21"/>
      <c r="B31" s="23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3"/>
      <c r="N31" s="21"/>
    </row>
    <row r="32" customFormat="false" ht="15" hidden="false" customHeight="false" outlineLevel="0" collapsed="false">
      <c r="A32" s="21"/>
      <c r="B32" s="23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3"/>
      <c r="N32" s="21"/>
    </row>
    <row r="33" customFormat="false" ht="15" hidden="false" customHeight="false" outlineLevel="0" collapsed="false">
      <c r="A33" s="21"/>
      <c r="B33" s="23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3"/>
      <c r="N33" s="21"/>
    </row>
    <row r="34" customFormat="false" ht="15" hidden="false" customHeight="false" outlineLevel="0" collapsed="false">
      <c r="A34" s="21"/>
      <c r="B34" s="23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3"/>
      <c r="N34" s="21"/>
    </row>
    <row r="35" customFormat="false" ht="15" hidden="false" customHeight="false" outlineLevel="0" collapsed="false">
      <c r="A35" s="21"/>
      <c r="B35" s="23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3"/>
      <c r="N35" s="21"/>
    </row>
    <row r="36" customFormat="false" ht="15" hidden="false" customHeight="false" outlineLevel="0" collapsed="false">
      <c r="A36" s="21"/>
      <c r="B36" s="23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3"/>
      <c r="N36" s="21"/>
    </row>
    <row r="37" customFormat="false" ht="15" hidden="false" customHeight="false" outlineLevel="0" collapsed="false">
      <c r="A37" s="21"/>
      <c r="B37" s="23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3"/>
      <c r="N37" s="21"/>
    </row>
    <row r="38" customFormat="false" ht="15" hidden="false" customHeight="false" outlineLevel="0" collapsed="false">
      <c r="A38" s="21"/>
      <c r="B38" s="23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3"/>
      <c r="N38" s="21"/>
    </row>
    <row r="39" customFormat="false" ht="15" hidden="false" customHeight="false" outlineLevel="0" collapsed="false">
      <c r="A39" s="21"/>
      <c r="B39" s="23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3"/>
      <c r="N39" s="21"/>
    </row>
    <row r="40" customFormat="false" ht="15" hidden="false" customHeight="false" outlineLevel="0" collapsed="false">
      <c r="A40" s="21"/>
      <c r="B40" s="23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3"/>
      <c r="N40" s="21"/>
    </row>
    <row r="41" customFormat="false" ht="15" hidden="false" customHeight="false" outlineLevel="0" collapsed="false">
      <c r="A41" s="21"/>
      <c r="B41" s="23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3"/>
      <c r="N41" s="21"/>
    </row>
    <row r="42" customFormat="false" ht="15" hidden="false" customHeight="false" outlineLevel="0" collapsed="false">
      <c r="A42" s="21"/>
      <c r="B42" s="23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3"/>
      <c r="N42" s="21"/>
    </row>
    <row r="43" customFormat="false" ht="15" hidden="false" customHeight="false" outlineLevel="0" collapsed="false">
      <c r="A43" s="21"/>
      <c r="B43" s="23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3"/>
      <c r="N43" s="21"/>
    </row>
    <row r="44" customFormat="false" ht="15" hidden="false" customHeight="false" outlineLevel="0" collapsed="false">
      <c r="A44" s="21"/>
      <c r="B44" s="23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3"/>
      <c r="N44" s="21"/>
    </row>
    <row r="45" customFormat="false" ht="15" hidden="false" customHeight="false" outlineLevel="0" collapsed="false">
      <c r="A45" s="21"/>
      <c r="B45" s="23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3"/>
      <c r="N45" s="21"/>
    </row>
    <row r="46" customFormat="false" ht="15" hidden="false" customHeight="false" outlineLevel="0" collapsed="false">
      <c r="A46" s="21"/>
      <c r="B46" s="23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3"/>
      <c r="N46" s="21"/>
    </row>
    <row r="47" customFormat="false" ht="15" hidden="false" customHeight="false" outlineLevel="0" collapsed="false">
      <c r="A47" s="21"/>
      <c r="B47" s="23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3"/>
      <c r="N47" s="21"/>
    </row>
    <row r="48" customFormat="false" ht="15" hidden="false" customHeight="false" outlineLevel="0" collapsed="false">
      <c r="A48" s="21"/>
      <c r="B48" s="2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3"/>
      <c r="N48" s="21"/>
    </row>
    <row r="49" customFormat="false" ht="15" hidden="false" customHeight="false" outlineLevel="0" collapsed="false">
      <c r="A49" s="21"/>
      <c r="B49" s="23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3"/>
      <c r="N49" s="21"/>
    </row>
    <row r="50" customFormat="false" ht="15" hidden="false" customHeight="false" outlineLevel="0" collapsed="false">
      <c r="A50" s="21"/>
      <c r="B50" s="23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3"/>
      <c r="N50" s="21"/>
    </row>
    <row r="51" customFormat="false" ht="15" hidden="false" customHeight="false" outlineLevel="0" collapsed="false">
      <c r="A51" s="21"/>
      <c r="B51" s="2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3"/>
      <c r="N51" s="21"/>
    </row>
    <row r="52" customFormat="false" ht="15" hidden="false" customHeight="false" outlineLevel="0" collapsed="false">
      <c r="A52" s="21"/>
      <c r="B52" s="23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3"/>
      <c r="N52" s="21"/>
    </row>
    <row r="53" customFormat="false" ht="15" hidden="false" customHeight="false" outlineLevel="0" collapsed="false">
      <c r="A53" s="21"/>
      <c r="B53" s="23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3"/>
      <c r="N53" s="21"/>
    </row>
    <row r="54" customFormat="false" ht="15" hidden="false" customHeight="false" outlineLevel="0" collapsed="false">
      <c r="A54" s="21"/>
      <c r="B54" s="23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3"/>
      <c r="N54" s="21"/>
    </row>
    <row r="55" customFormat="false" ht="15" hidden="false" customHeight="false" outlineLevel="0" collapsed="false">
      <c r="A55" s="21"/>
      <c r="B55" s="23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3"/>
      <c r="N55" s="21"/>
    </row>
    <row r="56" customFormat="false" ht="15" hidden="false" customHeight="false" outlineLevel="0" collapsed="false">
      <c r="A56" s="21"/>
      <c r="B56" s="23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3"/>
      <c r="N56" s="21"/>
    </row>
    <row r="57" customFormat="false" ht="15" hidden="false" customHeight="false" outlineLevel="0" collapsed="false">
      <c r="A57" s="21"/>
      <c r="B57" s="23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3"/>
      <c r="N57" s="21"/>
    </row>
    <row r="58" customFormat="false" ht="15" hidden="false" customHeight="false" outlineLevel="0" collapsed="false">
      <c r="A58" s="21"/>
      <c r="B58" s="23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3"/>
      <c r="N58" s="21"/>
    </row>
    <row r="59" customFormat="false" ht="15" hidden="false" customHeight="false" outlineLevel="0" collapsed="false">
      <c r="A59" s="21"/>
      <c r="B59" s="23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3"/>
      <c r="N59" s="21"/>
    </row>
    <row r="60" customFormat="false" ht="15" hidden="false" customHeight="false" outlineLevel="0" collapsed="false">
      <c r="A60" s="21"/>
      <c r="B60" s="23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3"/>
      <c r="N60" s="21"/>
    </row>
    <row r="61" customFormat="false" ht="15" hidden="false" customHeight="false" outlineLevel="0" collapsed="false">
      <c r="A61" s="21"/>
      <c r="B61" s="23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3"/>
      <c r="N61" s="21"/>
    </row>
    <row r="62" customFormat="false" ht="15" hidden="false" customHeight="false" outlineLevel="0" collapsed="false">
      <c r="A62" s="21"/>
      <c r="B62" s="23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3"/>
      <c r="N62" s="21"/>
    </row>
    <row r="63" customFormat="false" ht="15" hidden="false" customHeight="false" outlineLevel="0" collapsed="false">
      <c r="A63" s="21"/>
      <c r="B63" s="23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3"/>
      <c r="N63" s="21"/>
    </row>
    <row r="64" customFormat="false" ht="15" hidden="false" customHeight="false" outlineLevel="0" collapsed="false">
      <c r="A64" s="21"/>
      <c r="B64" s="23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3"/>
      <c r="N64" s="21"/>
    </row>
    <row r="65" customFormat="false" ht="15" hidden="false" customHeight="false" outlineLevel="0" collapsed="false">
      <c r="A65" s="21"/>
      <c r="B65" s="23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3"/>
      <c r="N65" s="21"/>
    </row>
    <row r="66" customFormat="false" ht="15" hidden="false" customHeight="false" outlineLevel="0" collapsed="false">
      <c r="A66" s="21"/>
      <c r="B66" s="23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3"/>
      <c r="N66" s="21"/>
    </row>
    <row r="67" customFormat="false" ht="15" hidden="false" customHeight="false" outlineLevel="0" collapsed="false">
      <c r="A67" s="21"/>
      <c r="B67" s="23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3"/>
      <c r="N67" s="21"/>
    </row>
    <row r="68" customFormat="false" ht="15" hidden="false" customHeight="false" outlineLevel="0" collapsed="false">
      <c r="A68" s="21"/>
      <c r="B68" s="23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3"/>
      <c r="N68" s="21"/>
    </row>
    <row r="69" customFormat="false" ht="15" hidden="false" customHeight="false" outlineLevel="0" collapsed="false">
      <c r="A69" s="21"/>
      <c r="B69" s="23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3"/>
      <c r="N69" s="21"/>
    </row>
    <row r="70" customFormat="false" ht="15" hidden="false" customHeight="false" outlineLevel="0" collapsed="false">
      <c r="A70" s="21"/>
      <c r="B70" s="23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3"/>
      <c r="N70" s="21"/>
    </row>
    <row r="71" customFormat="false" ht="15" hidden="false" customHeight="false" outlineLevel="0" collapsed="false">
      <c r="A71" s="21"/>
      <c r="B71" s="23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3"/>
      <c r="N71" s="21"/>
    </row>
    <row r="72" customFormat="false" ht="15" hidden="false" customHeight="false" outlineLevel="0" collapsed="false">
      <c r="A72" s="21"/>
      <c r="B72" s="23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3"/>
      <c r="N72" s="21"/>
    </row>
    <row r="73" customFormat="false" ht="15" hidden="false" customHeight="false" outlineLevel="0" collapsed="false">
      <c r="A73" s="21"/>
      <c r="B73" s="23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3"/>
      <c r="N73" s="21"/>
    </row>
    <row r="74" customFormat="false" ht="15" hidden="false" customHeight="false" outlineLevel="0" collapsed="false">
      <c r="A74" s="21"/>
      <c r="B74" s="23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3"/>
      <c r="N74" s="21"/>
    </row>
    <row r="75" customFormat="false" ht="15" hidden="false" customHeight="false" outlineLevel="0" collapsed="false">
      <c r="A75" s="21"/>
      <c r="B75" s="23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3"/>
      <c r="N75" s="21"/>
    </row>
    <row r="76" customFormat="false" ht="15" hidden="false" customHeight="false" outlineLevel="0" collapsed="false">
      <c r="A76" s="21"/>
      <c r="B76" s="23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3"/>
      <c r="N76" s="21"/>
    </row>
    <row r="77" customFormat="false" ht="15" hidden="false" customHeight="false" outlineLevel="0" collapsed="false">
      <c r="A77" s="21"/>
      <c r="B77" s="23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3"/>
      <c r="N77" s="21"/>
    </row>
    <row r="78" customFormat="false" ht="15" hidden="false" customHeight="false" outlineLevel="0" collapsed="false">
      <c r="A78" s="21"/>
      <c r="B78" s="23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3"/>
      <c r="N78" s="21"/>
    </row>
    <row r="79" customFormat="false" ht="15" hidden="false" customHeight="false" outlineLevel="0" collapsed="false">
      <c r="A79" s="21"/>
      <c r="B79" s="23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3"/>
      <c r="N79" s="21"/>
    </row>
    <row r="80" customFormat="false" ht="15" hidden="false" customHeight="false" outlineLevel="0" collapsed="false">
      <c r="A80" s="21"/>
      <c r="B80" s="23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3"/>
      <c r="N80" s="21"/>
    </row>
    <row r="81" customFormat="false" ht="15" hidden="false" customHeight="false" outlineLevel="0" collapsed="false">
      <c r="A81" s="21"/>
      <c r="B81" s="23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3"/>
      <c r="N81" s="21"/>
    </row>
    <row r="82" customFormat="false" ht="15" hidden="false" customHeight="false" outlineLevel="0" collapsed="false">
      <c r="A82" s="21"/>
      <c r="B82" s="23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3"/>
      <c r="N82" s="21"/>
    </row>
    <row r="83" customFormat="false" ht="15" hidden="false" customHeight="false" outlineLevel="0" collapsed="false">
      <c r="A83" s="21"/>
      <c r="B83" s="23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3"/>
      <c r="N83" s="21"/>
    </row>
    <row r="84" customFormat="false" ht="15" hidden="false" customHeight="false" outlineLevel="0" collapsed="false">
      <c r="A84" s="21"/>
      <c r="B84" s="23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3"/>
      <c r="N84" s="21"/>
    </row>
    <row r="85" customFormat="false" ht="15" hidden="false" customHeight="false" outlineLevel="0" collapsed="false">
      <c r="A85" s="21"/>
      <c r="B85" s="23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3"/>
      <c r="N85" s="21"/>
    </row>
    <row r="86" customFormat="false" ht="15" hidden="false" customHeight="false" outlineLevel="0" collapsed="false">
      <c r="A86" s="21"/>
      <c r="B86" s="23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3"/>
      <c r="N86" s="21"/>
    </row>
    <row r="87" customFormat="false" ht="15" hidden="false" customHeight="false" outlineLevel="0" collapsed="false">
      <c r="A87" s="21"/>
      <c r="B87" s="23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3"/>
      <c r="N87" s="21"/>
    </row>
    <row r="88" customFormat="false" ht="15" hidden="false" customHeight="false" outlineLevel="0" collapsed="false">
      <c r="A88" s="21"/>
      <c r="B88" s="23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3"/>
      <c r="N88" s="21"/>
    </row>
    <row r="89" customFormat="false" ht="15" hidden="false" customHeight="false" outlineLevel="0" collapsed="false">
      <c r="A89" s="21"/>
      <c r="B89" s="23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3"/>
      <c r="N89" s="21"/>
    </row>
    <row r="90" customFormat="false" ht="15" hidden="false" customHeight="false" outlineLevel="0" collapsed="false">
      <c r="A90" s="21"/>
      <c r="B90" s="23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3"/>
      <c r="N90" s="21"/>
    </row>
    <row r="91" customFormat="false" ht="15" hidden="false" customHeight="false" outlineLevel="0" collapsed="false">
      <c r="A91" s="21"/>
      <c r="B91" s="23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3"/>
      <c r="N91" s="21"/>
    </row>
    <row r="92" customFormat="false" ht="15" hidden="false" customHeight="false" outlineLevel="0" collapsed="false">
      <c r="A92" s="21"/>
      <c r="B92" s="23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3"/>
      <c r="N92" s="21"/>
    </row>
    <row r="93" customFormat="false" ht="15" hidden="false" customHeight="false" outlineLevel="0" collapsed="false">
      <c r="A93" s="21"/>
      <c r="B93" s="23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3"/>
      <c r="N93" s="21"/>
    </row>
    <row r="94" customFormat="false" ht="15" hidden="false" customHeight="false" outlineLevel="0" collapsed="false">
      <c r="A94" s="21"/>
      <c r="B94" s="23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3"/>
      <c r="N94" s="21"/>
    </row>
    <row r="95" customFormat="false" ht="15" hidden="false" customHeight="false" outlineLevel="0" collapsed="false">
      <c r="A95" s="21"/>
      <c r="B95" s="23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3"/>
      <c r="N95" s="21"/>
    </row>
    <row r="96" customFormat="false" ht="15" hidden="false" customHeight="false" outlineLevel="0" collapsed="false">
      <c r="A96" s="21"/>
      <c r="B96" s="23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3"/>
      <c r="N96" s="21"/>
    </row>
    <row r="97" customFormat="false" ht="15" hidden="false" customHeight="false" outlineLevel="0" collapsed="false">
      <c r="A97" s="21"/>
      <c r="B97" s="23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3"/>
      <c r="N97" s="21"/>
    </row>
    <row r="98" customFormat="false" ht="15" hidden="false" customHeight="false" outlineLevel="0" collapsed="false">
      <c r="A98" s="21"/>
      <c r="B98" s="23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3"/>
      <c r="N98" s="21"/>
    </row>
    <row r="99" customFormat="false" ht="15" hidden="false" customHeight="false" outlineLevel="0" collapsed="false">
      <c r="A99" s="21"/>
      <c r="B99" s="23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3"/>
      <c r="N99" s="21"/>
    </row>
    <row r="100" customFormat="false" ht="15" hidden="false" customHeight="false" outlineLevel="0" collapsed="false">
      <c r="A100" s="21"/>
      <c r="B100" s="23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3"/>
      <c r="N100" s="21"/>
    </row>
    <row r="101" customFormat="false" ht="15" hidden="false" customHeight="false" outlineLevel="0" collapsed="false">
      <c r="A101" s="21"/>
      <c r="B101" s="23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3"/>
      <c r="N101" s="21"/>
    </row>
    <row r="102" customFormat="false" ht="15" hidden="false" customHeight="false" outlineLevel="0" collapsed="false">
      <c r="A102" s="21"/>
      <c r="B102" s="23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3"/>
      <c r="N102" s="21"/>
    </row>
    <row r="103" customFormat="false" ht="15" hidden="false" customHeight="false" outlineLevel="0" collapsed="false">
      <c r="A103" s="21"/>
      <c r="B103" s="23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3"/>
      <c r="N103" s="21"/>
    </row>
    <row r="104" customFormat="false" ht="15" hidden="false" customHeight="false" outlineLevel="0" collapsed="false">
      <c r="A104" s="21"/>
      <c r="B104" s="23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3"/>
      <c r="N104" s="21"/>
    </row>
    <row r="105" customFormat="false" ht="15" hidden="false" customHeight="false" outlineLevel="0" collapsed="false">
      <c r="A105" s="21"/>
      <c r="B105" s="23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3"/>
      <c r="N105" s="21"/>
    </row>
    <row r="106" customFormat="false" ht="15" hidden="false" customHeight="false" outlineLevel="0" collapsed="false">
      <c r="A106" s="21"/>
      <c r="B106" s="23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3"/>
      <c r="N106" s="21"/>
    </row>
    <row r="107" customFormat="false" ht="15" hidden="false" customHeight="false" outlineLevel="0" collapsed="false">
      <c r="A107" s="21"/>
      <c r="B107" s="23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3"/>
      <c r="N107" s="21"/>
    </row>
    <row r="108" customFormat="false" ht="15" hidden="false" customHeight="false" outlineLevel="0" collapsed="false">
      <c r="A108" s="21"/>
      <c r="B108" s="23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3"/>
      <c r="N108" s="21"/>
    </row>
    <row r="109" customFormat="false" ht="15" hidden="false" customHeight="false" outlineLevel="0" collapsed="false">
      <c r="A109" s="21"/>
      <c r="B109" s="23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3"/>
      <c r="N109" s="21"/>
    </row>
    <row r="110" customFormat="false" ht="15" hidden="false" customHeight="false" outlineLevel="0" collapsed="false">
      <c r="A110" s="21"/>
      <c r="B110" s="23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3"/>
      <c r="N110" s="21"/>
    </row>
    <row r="111" customFormat="false" ht="15" hidden="false" customHeight="false" outlineLevel="0" collapsed="false">
      <c r="A111" s="21"/>
      <c r="B111" s="23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3"/>
      <c r="N111" s="21"/>
    </row>
    <row r="112" customFormat="false" ht="15" hidden="false" customHeight="false" outlineLevel="0" collapsed="false">
      <c r="A112" s="21"/>
      <c r="B112" s="23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3"/>
      <c r="N112" s="21"/>
    </row>
    <row r="113" customFormat="false" ht="15" hidden="false" customHeight="false" outlineLevel="0" collapsed="false">
      <c r="A113" s="21"/>
      <c r="B113" s="23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3"/>
      <c r="N113" s="21"/>
    </row>
    <row r="114" customFormat="false" ht="15" hidden="false" customHeight="false" outlineLevel="0" collapsed="false">
      <c r="A114" s="21"/>
      <c r="B114" s="23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3"/>
      <c r="N114" s="21"/>
    </row>
    <row r="115" customFormat="false" ht="15" hidden="false" customHeight="false" outlineLevel="0" collapsed="false">
      <c r="A115" s="21"/>
      <c r="B115" s="23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3"/>
      <c r="N115" s="21"/>
    </row>
    <row r="116" customFormat="false" ht="15" hidden="false" customHeight="false" outlineLevel="0" collapsed="false">
      <c r="A116" s="21"/>
      <c r="B116" s="23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3"/>
      <c r="N116" s="21"/>
    </row>
    <row r="117" customFormat="false" ht="15" hidden="false" customHeight="false" outlineLevel="0" collapsed="false">
      <c r="A117" s="21"/>
      <c r="B117" s="23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3"/>
      <c r="N117" s="21"/>
    </row>
    <row r="118" customFormat="false" ht="15" hidden="false" customHeight="false" outlineLevel="0" collapsed="false">
      <c r="A118" s="21"/>
      <c r="B118" s="23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3"/>
      <c r="N118" s="21"/>
    </row>
    <row r="119" customFormat="false" ht="15" hidden="false" customHeight="false" outlineLevel="0" collapsed="false">
      <c r="A119" s="21"/>
      <c r="B119" s="23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3"/>
      <c r="N119" s="21"/>
    </row>
    <row r="120" customFormat="false" ht="15" hidden="false" customHeight="false" outlineLevel="0" collapsed="false">
      <c r="A120" s="21"/>
      <c r="B120" s="23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3"/>
      <c r="N120" s="21"/>
    </row>
    <row r="121" customFormat="false" ht="15" hidden="false" customHeight="false" outlineLevel="0" collapsed="false">
      <c r="A121" s="21"/>
      <c r="B121" s="23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3"/>
      <c r="N121" s="21"/>
    </row>
    <row r="122" customFormat="false" ht="15" hidden="false" customHeight="false" outlineLevel="0" collapsed="false">
      <c r="A122" s="21"/>
      <c r="B122" s="23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3"/>
      <c r="N122" s="21"/>
    </row>
    <row r="123" customFormat="false" ht="15" hidden="false" customHeight="false" outlineLevel="0" collapsed="false">
      <c r="A123" s="21"/>
      <c r="B123" s="23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3"/>
      <c r="N123" s="21"/>
    </row>
    <row r="124" customFormat="false" ht="15" hidden="false" customHeight="false" outlineLevel="0" collapsed="false">
      <c r="A124" s="21"/>
      <c r="B124" s="23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3"/>
      <c r="N124" s="21"/>
    </row>
    <row r="125" customFormat="false" ht="15" hidden="false" customHeight="false" outlineLevel="0" collapsed="false">
      <c r="A125" s="21"/>
      <c r="B125" s="23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3"/>
      <c r="N125" s="21"/>
    </row>
    <row r="126" customFormat="false" ht="15" hidden="false" customHeight="false" outlineLevel="0" collapsed="false">
      <c r="A126" s="21"/>
      <c r="B126" s="23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3"/>
      <c r="N126" s="21"/>
    </row>
    <row r="127" customFormat="false" ht="15" hidden="false" customHeight="false" outlineLevel="0" collapsed="false">
      <c r="A127" s="21"/>
      <c r="B127" s="23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3"/>
      <c r="N127" s="21"/>
    </row>
    <row r="128" customFormat="false" ht="15" hidden="false" customHeight="false" outlineLevel="0" collapsed="false">
      <c r="A128" s="21"/>
      <c r="B128" s="23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3"/>
      <c r="N128" s="21"/>
    </row>
    <row r="129" customFormat="false" ht="15" hidden="false" customHeight="false" outlineLevel="0" collapsed="false">
      <c r="A129" s="21"/>
      <c r="B129" s="23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3"/>
      <c r="N129" s="21"/>
    </row>
    <row r="130" customFormat="false" ht="15" hidden="false" customHeight="false" outlineLevel="0" collapsed="false">
      <c r="A130" s="21"/>
      <c r="B130" s="23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3"/>
      <c r="N130" s="21"/>
    </row>
    <row r="131" customFormat="false" ht="15" hidden="false" customHeight="false" outlineLevel="0" collapsed="false">
      <c r="A131" s="21"/>
      <c r="B131" s="23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3"/>
      <c r="N131" s="21"/>
    </row>
    <row r="132" customFormat="false" ht="15" hidden="false" customHeight="false" outlineLevel="0" collapsed="false">
      <c r="A132" s="21"/>
      <c r="B132" s="23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3"/>
      <c r="N132" s="21"/>
    </row>
    <row r="133" customFormat="false" ht="15" hidden="false" customHeight="false" outlineLevel="0" collapsed="false">
      <c r="A133" s="21"/>
      <c r="B133" s="23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3"/>
      <c r="N133" s="21"/>
    </row>
    <row r="134" customFormat="false" ht="15" hidden="false" customHeight="false" outlineLevel="0" collapsed="false">
      <c r="A134" s="21"/>
      <c r="B134" s="23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3"/>
      <c r="N134" s="21"/>
    </row>
    <row r="135" customFormat="false" ht="15" hidden="false" customHeight="false" outlineLevel="0" collapsed="false">
      <c r="A135" s="21"/>
      <c r="B135" s="23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3"/>
      <c r="N135" s="21"/>
    </row>
    <row r="136" customFormat="false" ht="15" hidden="false" customHeight="false" outlineLevel="0" collapsed="false">
      <c r="A136" s="21"/>
      <c r="B136" s="23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3"/>
      <c r="N136" s="21"/>
    </row>
    <row r="137" customFormat="false" ht="15" hidden="false" customHeight="false" outlineLevel="0" collapsed="false">
      <c r="A137" s="21"/>
      <c r="B137" s="23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3"/>
      <c r="N137" s="21"/>
    </row>
    <row r="138" customFormat="false" ht="15" hidden="false" customHeight="false" outlineLevel="0" collapsed="false">
      <c r="A138" s="21"/>
      <c r="B138" s="23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3"/>
      <c r="N138" s="21"/>
    </row>
    <row r="139" customFormat="false" ht="15" hidden="false" customHeight="false" outlineLevel="0" collapsed="false">
      <c r="A139" s="21"/>
      <c r="B139" s="23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3"/>
      <c r="N139" s="21"/>
    </row>
    <row r="140" customFormat="false" ht="15" hidden="false" customHeight="false" outlineLevel="0" collapsed="false">
      <c r="A140" s="21"/>
      <c r="B140" s="23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3"/>
      <c r="N140" s="21"/>
    </row>
    <row r="141" customFormat="false" ht="15" hidden="false" customHeight="false" outlineLevel="0" collapsed="false">
      <c r="A141" s="21"/>
      <c r="B141" s="23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3"/>
      <c r="N141" s="21"/>
    </row>
    <row r="142" customFormat="false" ht="15" hidden="false" customHeight="false" outlineLevel="0" collapsed="false">
      <c r="A142" s="21"/>
      <c r="B142" s="23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3"/>
      <c r="N142" s="21"/>
    </row>
    <row r="143" customFormat="false" ht="15" hidden="false" customHeight="false" outlineLevel="0" collapsed="false">
      <c r="A143" s="21"/>
      <c r="B143" s="23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3"/>
      <c r="N143" s="21"/>
    </row>
    <row r="144" customFormat="false" ht="15" hidden="false" customHeight="false" outlineLevel="0" collapsed="false">
      <c r="A144" s="21"/>
      <c r="B144" s="23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3"/>
      <c r="N144" s="21"/>
    </row>
    <row r="145" customFormat="false" ht="15" hidden="false" customHeight="false" outlineLevel="0" collapsed="false">
      <c r="A145" s="21"/>
      <c r="B145" s="23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3"/>
      <c r="N145" s="21"/>
    </row>
    <row r="146" customFormat="false" ht="15" hidden="false" customHeight="false" outlineLevel="0" collapsed="false">
      <c r="A146" s="21"/>
      <c r="B146" s="23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3"/>
      <c r="N146" s="21"/>
    </row>
    <row r="147" customFormat="false" ht="15" hidden="false" customHeight="false" outlineLevel="0" collapsed="false">
      <c r="A147" s="21"/>
      <c r="B147" s="23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3"/>
      <c r="N147" s="21"/>
    </row>
    <row r="148" customFormat="false" ht="15" hidden="false" customHeight="false" outlineLevel="0" collapsed="false">
      <c r="A148" s="21"/>
      <c r="B148" s="23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3"/>
      <c r="N148" s="21"/>
    </row>
    <row r="149" customFormat="false" ht="15" hidden="false" customHeight="false" outlineLevel="0" collapsed="false">
      <c r="A149" s="21"/>
      <c r="B149" s="23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3"/>
      <c r="N149" s="21"/>
    </row>
    <row r="150" customFormat="false" ht="15" hidden="false" customHeight="false" outlineLevel="0" collapsed="false">
      <c r="A150" s="21"/>
      <c r="B150" s="23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3"/>
      <c r="N150" s="21"/>
    </row>
    <row r="151" customFormat="false" ht="15" hidden="false" customHeight="false" outlineLevel="0" collapsed="false">
      <c r="A151" s="21"/>
      <c r="B151" s="23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3"/>
      <c r="N151" s="21"/>
    </row>
    <row r="152" customFormat="false" ht="15" hidden="false" customHeight="false" outlineLevel="0" collapsed="false">
      <c r="A152" s="21"/>
      <c r="B152" s="23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3"/>
      <c r="N152" s="21"/>
    </row>
    <row r="153" customFormat="false" ht="15" hidden="false" customHeight="false" outlineLevel="0" collapsed="false">
      <c r="A153" s="21"/>
      <c r="B153" s="23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3"/>
      <c r="N153" s="21"/>
    </row>
    <row r="154" customFormat="false" ht="15" hidden="false" customHeight="false" outlineLevel="0" collapsed="false">
      <c r="A154" s="21"/>
      <c r="B154" s="23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3"/>
      <c r="N154" s="21"/>
    </row>
    <row r="155" customFormat="false" ht="15" hidden="false" customHeight="false" outlineLevel="0" collapsed="false">
      <c r="A155" s="21"/>
      <c r="B155" s="23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3"/>
      <c r="N155" s="21"/>
    </row>
    <row r="156" customFormat="false" ht="15" hidden="false" customHeight="false" outlineLevel="0" collapsed="false">
      <c r="A156" s="21"/>
      <c r="B156" s="23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3"/>
      <c r="N156" s="21"/>
    </row>
    <row r="157" customFormat="false" ht="15" hidden="false" customHeight="false" outlineLevel="0" collapsed="false">
      <c r="A157" s="21"/>
      <c r="B157" s="23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3"/>
      <c r="N157" s="21"/>
    </row>
    <row r="158" customFormat="false" ht="15" hidden="false" customHeight="false" outlineLevel="0" collapsed="false">
      <c r="A158" s="21"/>
      <c r="B158" s="23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3"/>
      <c r="N158" s="21"/>
    </row>
    <row r="159" customFormat="false" ht="15" hidden="false" customHeight="false" outlineLevel="0" collapsed="false">
      <c r="A159" s="21"/>
      <c r="B159" s="23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3"/>
      <c r="N159" s="21"/>
    </row>
    <row r="160" customFormat="false" ht="15" hidden="false" customHeight="false" outlineLevel="0" collapsed="false">
      <c r="A160" s="21"/>
      <c r="B160" s="23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3"/>
      <c r="N160" s="21"/>
    </row>
    <row r="161" customFormat="false" ht="15" hidden="false" customHeight="false" outlineLevel="0" collapsed="false">
      <c r="A161" s="21"/>
      <c r="B161" s="23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3"/>
      <c r="N161" s="21"/>
    </row>
    <row r="162" customFormat="false" ht="15" hidden="false" customHeight="false" outlineLevel="0" collapsed="false">
      <c r="A162" s="21"/>
      <c r="B162" s="23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3"/>
      <c r="N162" s="21"/>
    </row>
    <row r="163" customFormat="false" ht="15" hidden="false" customHeight="false" outlineLevel="0" collapsed="false">
      <c r="A163" s="21"/>
      <c r="B163" s="23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3"/>
      <c r="N163" s="21"/>
    </row>
    <row r="164" customFormat="false" ht="15" hidden="false" customHeight="false" outlineLevel="0" collapsed="false">
      <c r="A164" s="21"/>
      <c r="B164" s="23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3"/>
      <c r="N164" s="21"/>
    </row>
    <row r="165" customFormat="false" ht="15" hidden="false" customHeight="false" outlineLevel="0" collapsed="false">
      <c r="A165" s="21"/>
      <c r="B165" s="23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3"/>
      <c r="N165" s="21"/>
    </row>
    <row r="166" customFormat="false" ht="15" hidden="false" customHeight="false" outlineLevel="0" collapsed="false">
      <c r="A166" s="21"/>
      <c r="B166" s="23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3"/>
      <c r="N166" s="21"/>
    </row>
    <row r="167" customFormat="false" ht="15" hidden="false" customHeight="false" outlineLevel="0" collapsed="false">
      <c r="A167" s="21"/>
      <c r="B167" s="23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3"/>
      <c r="N167" s="21"/>
    </row>
    <row r="168" customFormat="false" ht="15" hidden="false" customHeight="false" outlineLevel="0" collapsed="false">
      <c r="A168" s="21"/>
      <c r="B168" s="23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3"/>
      <c r="N168" s="21"/>
    </row>
    <row r="169" customFormat="false" ht="15" hidden="false" customHeight="false" outlineLevel="0" collapsed="false">
      <c r="A169" s="21"/>
      <c r="B169" s="23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3"/>
      <c r="N169" s="21"/>
    </row>
    <row r="170" customFormat="false" ht="15" hidden="false" customHeight="false" outlineLevel="0" collapsed="false">
      <c r="A170" s="21"/>
      <c r="B170" s="23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3"/>
      <c r="N170" s="21"/>
    </row>
    <row r="171" customFormat="false" ht="15" hidden="false" customHeight="false" outlineLevel="0" collapsed="false">
      <c r="A171" s="21"/>
      <c r="B171" s="23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3"/>
      <c r="N171" s="21"/>
    </row>
    <row r="172" customFormat="false" ht="15" hidden="false" customHeight="false" outlineLevel="0" collapsed="false">
      <c r="A172" s="21"/>
      <c r="B172" s="23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3"/>
      <c r="N172" s="21"/>
    </row>
    <row r="173" customFormat="false" ht="15" hidden="false" customHeight="false" outlineLevel="0" collapsed="false">
      <c r="A173" s="21"/>
      <c r="B173" s="23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3"/>
      <c r="N173" s="21"/>
    </row>
    <row r="174" customFormat="false" ht="15" hidden="false" customHeight="false" outlineLevel="0" collapsed="false">
      <c r="A174" s="21"/>
      <c r="B174" s="23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3"/>
      <c r="N174" s="21"/>
    </row>
    <row r="175" customFormat="false" ht="15" hidden="false" customHeight="false" outlineLevel="0" collapsed="false">
      <c r="A175" s="21"/>
      <c r="B175" s="23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3"/>
      <c r="N175" s="21"/>
    </row>
    <row r="176" customFormat="false" ht="15" hidden="false" customHeight="false" outlineLevel="0" collapsed="false">
      <c r="A176" s="21"/>
      <c r="B176" s="23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3"/>
      <c r="N176" s="21"/>
    </row>
    <row r="177" customFormat="false" ht="15" hidden="false" customHeight="false" outlineLevel="0" collapsed="false">
      <c r="A177" s="21"/>
      <c r="B177" s="23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3"/>
      <c r="N177" s="21"/>
    </row>
    <row r="178" customFormat="false" ht="15" hidden="false" customHeight="false" outlineLevel="0" collapsed="false">
      <c r="A178" s="21"/>
      <c r="B178" s="23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3"/>
      <c r="N178" s="21"/>
    </row>
    <row r="179" customFormat="false" ht="15" hidden="false" customHeight="false" outlineLevel="0" collapsed="false">
      <c r="A179" s="21"/>
      <c r="B179" s="23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3"/>
      <c r="N179" s="21"/>
    </row>
    <row r="180" customFormat="false" ht="15" hidden="false" customHeight="false" outlineLevel="0" collapsed="false">
      <c r="A180" s="21"/>
      <c r="B180" s="23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3"/>
      <c r="N180" s="21"/>
    </row>
    <row r="181" customFormat="false" ht="15" hidden="false" customHeight="false" outlineLevel="0" collapsed="false">
      <c r="A181" s="21"/>
      <c r="B181" s="23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3"/>
      <c r="N181" s="21"/>
    </row>
    <row r="182" customFormat="false" ht="15" hidden="false" customHeight="false" outlineLevel="0" collapsed="false">
      <c r="A182" s="21"/>
      <c r="B182" s="23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3"/>
      <c r="N182" s="21"/>
    </row>
    <row r="183" customFormat="false" ht="15" hidden="false" customHeight="false" outlineLevel="0" collapsed="false">
      <c r="A183" s="21"/>
      <c r="B183" s="23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3"/>
      <c r="N183" s="21"/>
    </row>
    <row r="184" customFormat="false" ht="15" hidden="false" customHeight="false" outlineLevel="0" collapsed="false">
      <c r="A184" s="21"/>
      <c r="B184" s="23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3"/>
      <c r="N184" s="21"/>
    </row>
    <row r="185" customFormat="false" ht="15" hidden="false" customHeight="false" outlineLevel="0" collapsed="false">
      <c r="A185" s="21"/>
      <c r="B185" s="23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3"/>
      <c r="N185" s="21"/>
    </row>
    <row r="186" customFormat="false" ht="15" hidden="false" customHeight="false" outlineLevel="0" collapsed="false">
      <c r="A186" s="21"/>
      <c r="B186" s="23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3"/>
      <c r="N186" s="21"/>
    </row>
    <row r="187" customFormat="false" ht="15" hidden="false" customHeight="false" outlineLevel="0" collapsed="false">
      <c r="A187" s="21"/>
      <c r="B187" s="23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3"/>
      <c r="N187" s="21"/>
    </row>
    <row r="188" customFormat="false" ht="15" hidden="false" customHeight="false" outlineLevel="0" collapsed="false">
      <c r="A188" s="21"/>
      <c r="B188" s="23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3"/>
      <c r="N188" s="21"/>
    </row>
    <row r="189" customFormat="false" ht="15" hidden="false" customHeight="false" outlineLevel="0" collapsed="false">
      <c r="A189" s="21"/>
      <c r="B189" s="23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3"/>
      <c r="N189" s="21"/>
    </row>
    <row r="190" customFormat="false" ht="15" hidden="false" customHeight="false" outlineLevel="0" collapsed="false">
      <c r="A190" s="21"/>
      <c r="B190" s="23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3"/>
      <c r="N190" s="21"/>
    </row>
    <row r="191" customFormat="false" ht="15" hidden="false" customHeight="false" outlineLevel="0" collapsed="false">
      <c r="A191" s="21"/>
      <c r="B191" s="23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3"/>
      <c r="N191" s="21"/>
    </row>
    <row r="192" customFormat="false" ht="15" hidden="false" customHeight="false" outlineLevel="0" collapsed="false">
      <c r="A192" s="21"/>
      <c r="B192" s="23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3"/>
      <c r="N192" s="21"/>
    </row>
    <row r="193" customFormat="false" ht="15" hidden="false" customHeight="false" outlineLevel="0" collapsed="false">
      <c r="A193" s="21"/>
      <c r="B193" s="23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3"/>
      <c r="N193" s="21"/>
    </row>
    <row r="194" customFormat="false" ht="15" hidden="false" customHeight="false" outlineLevel="0" collapsed="false">
      <c r="A194" s="21"/>
      <c r="B194" s="23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3"/>
      <c r="N194" s="21"/>
    </row>
    <row r="195" customFormat="false" ht="15" hidden="false" customHeight="false" outlineLevel="0" collapsed="false">
      <c r="A195" s="21"/>
      <c r="B195" s="23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3"/>
      <c r="N195" s="21"/>
    </row>
    <row r="196" customFormat="false" ht="15" hidden="false" customHeight="false" outlineLevel="0" collapsed="false">
      <c r="A196" s="21"/>
      <c r="B196" s="23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3"/>
      <c r="N196" s="21"/>
    </row>
    <row r="197" customFormat="false" ht="15" hidden="false" customHeight="false" outlineLevel="0" collapsed="false">
      <c r="A197" s="21"/>
      <c r="B197" s="23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3"/>
      <c r="N197" s="21"/>
    </row>
    <row r="198" customFormat="false" ht="15" hidden="false" customHeight="false" outlineLevel="0" collapsed="false">
      <c r="A198" s="21"/>
      <c r="B198" s="23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3"/>
      <c r="N198" s="21"/>
    </row>
    <row r="199" customFormat="false" ht="15" hidden="false" customHeight="false" outlineLevel="0" collapsed="false">
      <c r="A199" s="21"/>
      <c r="B199" s="23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3"/>
      <c r="N199" s="21"/>
    </row>
    <row r="200" customFormat="false" ht="15" hidden="false" customHeight="false" outlineLevel="0" collapsed="false">
      <c r="A200" s="21"/>
      <c r="B200" s="23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3"/>
      <c r="N200" s="21"/>
    </row>
    <row r="201" customFormat="false" ht="15" hidden="false" customHeight="false" outlineLevel="0" collapsed="false">
      <c r="A201" s="21"/>
      <c r="B201" s="23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3"/>
      <c r="N201" s="21"/>
    </row>
    <row r="202" customFormat="false" ht="15" hidden="false" customHeight="false" outlineLevel="0" collapsed="false">
      <c r="A202" s="21"/>
      <c r="B202" s="23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3"/>
      <c r="N202" s="21"/>
    </row>
    <row r="203" customFormat="false" ht="15" hidden="false" customHeight="false" outlineLevel="0" collapsed="false">
      <c r="A203" s="21"/>
      <c r="B203" s="23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3"/>
      <c r="N203" s="21"/>
    </row>
    <row r="204" customFormat="false" ht="15" hidden="false" customHeight="false" outlineLevel="0" collapsed="false">
      <c r="A204" s="21"/>
      <c r="B204" s="23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3"/>
      <c r="N204" s="21"/>
    </row>
  </sheetData>
  <autoFilter ref="A4:N204"/>
  <dataValidations count="3">
    <dataValidation allowBlank="true" errorStyle="stop" operator="between" showDropDown="false" showErrorMessage="false" showInputMessage="false" sqref="I5:I204" type="list">
      <formula1>"Bloquante,Majeure,Mineure,Évolution"</formula1>
      <formula2>0</formula2>
    </dataValidation>
    <dataValidation allowBlank="true" errorStyle="stop" operator="between" showDropDown="false" showErrorMessage="false" showInputMessage="false" sqref="J5:J204" type="list">
      <formula1>"Ouverte,Qualifiée,En correction,Corrigée,Fermée,Rejetée"</formula1>
      <formula2>0</formula2>
    </dataValidation>
    <dataValidation allowBlank="true" errorStyle="stop" operator="between" showDropDown="false" showErrorMessage="false" showInputMessage="false" sqref="D5:D204" type="list">
      <formula1>'Synthèse scénarios'!$A$5:$A$55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5C9"/>
    <pageSetUpPr fitToPage="true"/>
  </sheetPr>
  <dimension ref="A1:K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7" min="6" style="0" width="7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11"/>
  </cols>
  <sheetData>
    <row r="1" customFormat="false" ht="19.7" hidden="false" customHeight="false" outlineLevel="0" collapsed="false">
      <c r="A1" s="1" t="s">
        <v>716</v>
      </c>
    </row>
    <row r="2" customFormat="false" ht="15" hidden="false" customHeight="false" outlineLevel="0" collapsed="false">
      <c r="A2" s="2" t="s">
        <v>717</v>
      </c>
    </row>
    <row r="4" customFormat="false" ht="30" hidden="false" customHeight="true" outlineLevel="0" collapsed="false">
      <c r="A4" s="20" t="s">
        <v>124</v>
      </c>
      <c r="B4" s="20" t="s">
        <v>125</v>
      </c>
      <c r="C4" s="20" t="s">
        <v>61</v>
      </c>
      <c r="D4" s="20" t="s">
        <v>126</v>
      </c>
      <c r="E4" s="20" t="s">
        <v>62</v>
      </c>
      <c r="F4" s="20" t="s">
        <v>16</v>
      </c>
      <c r="G4" s="20" t="s">
        <v>18</v>
      </c>
      <c r="H4" s="20" t="s">
        <v>20</v>
      </c>
      <c r="I4" s="20" t="s">
        <v>14</v>
      </c>
      <c r="J4" s="20" t="s">
        <v>718</v>
      </c>
      <c r="K4" s="20" t="s">
        <v>719</v>
      </c>
    </row>
    <row r="5" customFormat="false" ht="22.35" hidden="false" customHeight="false" outlineLevel="0" collapsed="false">
      <c r="A5" s="4" t="s">
        <v>136</v>
      </c>
      <c r="B5" s="5" t="s">
        <v>137</v>
      </c>
      <c r="C5" s="5" t="s">
        <v>64</v>
      </c>
      <c r="D5" s="5" t="s">
        <v>138</v>
      </c>
      <c r="E5" s="10" t="n">
        <f aca="false">COUNTIF(Exécution!$A$5:$A$239,A5)</f>
        <v>4</v>
      </c>
      <c r="F5" s="10" t="n">
        <f aca="false">COUNTIFS(Exécution!$A$5:$A$239,$A5,Exécution!$I$5:$I$239,"OK")</f>
        <v>0</v>
      </c>
      <c r="G5" s="10" t="n">
        <f aca="false">COUNTIFS(Exécution!$A$5:$A$239,$A5,Exécution!$I$5:$I$239,"KO")</f>
        <v>0</v>
      </c>
      <c r="H5" s="10" t="n">
        <f aca="false">COUNTIFS(Exécution!$A$5:$A$239,$A5,Exécution!$I$5:$I$239,"Bloqué")</f>
        <v>0</v>
      </c>
      <c r="I5" s="10" t="n">
        <f aca="false">COUNTIFS(Exécution!$A$5:$A$239,$A5,Exécution!$I$5:$I$239,"Non testé")</f>
        <v>4</v>
      </c>
      <c r="J5" s="18" t="str">
        <f aca="false">IF(G5&gt;0,"KO",IF(H5&gt;0,"Bloqué",IF(F5=E5,"OK",IF(I5=E5,"Non testé","En cours"))))</f>
        <v>Non testé</v>
      </c>
      <c r="K5" s="10" t="n">
        <f aca="false">COUNTIFS(Anomalies!$D$5:$D$204,A5,Anomalies!$J$5:$J$204,"&lt;&gt;Fermée",Anomalies!$J$5:$J$204,"&lt;&gt;Rejetée",Anomalies!$J$5:$J$204,"&lt;&gt;")</f>
        <v>0</v>
      </c>
    </row>
    <row r="6" customFormat="false" ht="22.35" hidden="false" customHeight="false" outlineLevel="0" collapsed="false">
      <c r="A6" s="4" t="s">
        <v>147</v>
      </c>
      <c r="B6" s="5" t="s">
        <v>148</v>
      </c>
      <c r="C6" s="5" t="s">
        <v>64</v>
      </c>
      <c r="D6" s="5" t="s">
        <v>138</v>
      </c>
      <c r="E6" s="10" t="n">
        <f aca="false">COUNTIF(Exécution!$A$5:$A$239,A6)</f>
        <v>3</v>
      </c>
      <c r="F6" s="10" t="n">
        <f aca="false">COUNTIFS(Exécution!$A$5:$A$239,$A6,Exécution!$I$5:$I$239,"OK")</f>
        <v>0</v>
      </c>
      <c r="G6" s="10" t="n">
        <f aca="false">COUNTIFS(Exécution!$A$5:$A$239,$A6,Exécution!$I$5:$I$239,"KO")</f>
        <v>0</v>
      </c>
      <c r="H6" s="10" t="n">
        <f aca="false">COUNTIFS(Exécution!$A$5:$A$239,$A6,Exécution!$I$5:$I$239,"Bloqué")</f>
        <v>0</v>
      </c>
      <c r="I6" s="10" t="n">
        <f aca="false">COUNTIFS(Exécution!$A$5:$A$239,$A6,Exécution!$I$5:$I$239,"Non testé")</f>
        <v>3</v>
      </c>
      <c r="J6" s="18" t="str">
        <f aca="false">IF(G6&gt;0,"KO",IF(H6&gt;0,"Bloqué",IF(F6=E6,"OK",IF(I6=E6,"Non testé","En cours"))))</f>
        <v>Non testé</v>
      </c>
      <c r="K6" s="10" t="n">
        <f aca="false">COUNTIFS(Anomalies!$D$5:$D$204,A6,Anomalies!$J$5:$J$204,"&lt;&gt;Fermée",Anomalies!$J$5:$J$204,"&lt;&gt;Rejetée",Anomalies!$J$5:$J$204,"&lt;&gt;")</f>
        <v>0</v>
      </c>
    </row>
    <row r="7" customFormat="false" ht="22.35" hidden="false" customHeight="false" outlineLevel="0" collapsed="false">
      <c r="A7" s="4" t="s">
        <v>155</v>
      </c>
      <c r="B7" s="5" t="s">
        <v>156</v>
      </c>
      <c r="C7" s="5" t="s">
        <v>64</v>
      </c>
      <c r="D7" s="5" t="s">
        <v>157</v>
      </c>
      <c r="E7" s="10" t="n">
        <f aca="false">COUNTIF(Exécution!$A$5:$A$239,A7)</f>
        <v>6</v>
      </c>
      <c r="F7" s="10" t="n">
        <f aca="false">COUNTIFS(Exécution!$A$5:$A$239,$A7,Exécution!$I$5:$I$239,"OK")</f>
        <v>0</v>
      </c>
      <c r="G7" s="10" t="n">
        <f aca="false">COUNTIFS(Exécution!$A$5:$A$239,$A7,Exécution!$I$5:$I$239,"KO")</f>
        <v>0</v>
      </c>
      <c r="H7" s="10" t="n">
        <f aca="false">COUNTIFS(Exécution!$A$5:$A$239,$A7,Exécution!$I$5:$I$239,"Bloqué")</f>
        <v>0</v>
      </c>
      <c r="I7" s="10" t="n">
        <f aca="false">COUNTIFS(Exécution!$A$5:$A$239,$A7,Exécution!$I$5:$I$239,"Non testé")</f>
        <v>6</v>
      </c>
      <c r="J7" s="18" t="str">
        <f aca="false">IF(G7&gt;0,"KO",IF(H7&gt;0,"Bloqué",IF(F7=E7,"OK",IF(I7=E7,"Non testé","En cours"))))</f>
        <v>Non testé</v>
      </c>
      <c r="K7" s="10" t="n">
        <f aca="false">COUNTIFS(Anomalies!$D$5:$D$204,A7,Anomalies!$J$5:$J$204,"&lt;&gt;Fermée",Anomalies!$J$5:$J$204,"&lt;&gt;Rejetée",Anomalies!$J$5:$J$204,"&lt;&gt;")</f>
        <v>0</v>
      </c>
    </row>
    <row r="8" customFormat="false" ht="22.35" hidden="false" customHeight="false" outlineLevel="0" collapsed="false">
      <c r="A8" s="4" t="s">
        <v>170</v>
      </c>
      <c r="B8" s="5" t="s">
        <v>171</v>
      </c>
      <c r="C8" s="5" t="s">
        <v>64</v>
      </c>
      <c r="D8" s="5" t="s">
        <v>138</v>
      </c>
      <c r="E8" s="10" t="n">
        <f aca="false">COUNTIF(Exécution!$A$5:$A$239,A8)</f>
        <v>5</v>
      </c>
      <c r="F8" s="10" t="n">
        <f aca="false">COUNTIFS(Exécution!$A$5:$A$239,$A8,Exécution!$I$5:$I$239,"OK")</f>
        <v>0</v>
      </c>
      <c r="G8" s="10" t="n">
        <f aca="false">COUNTIFS(Exécution!$A$5:$A$239,$A8,Exécution!$I$5:$I$239,"KO")</f>
        <v>0</v>
      </c>
      <c r="H8" s="10" t="n">
        <f aca="false">COUNTIFS(Exécution!$A$5:$A$239,$A8,Exécution!$I$5:$I$239,"Bloqué")</f>
        <v>0</v>
      </c>
      <c r="I8" s="10" t="n">
        <f aca="false">COUNTIFS(Exécution!$A$5:$A$239,$A8,Exécution!$I$5:$I$239,"Non testé")</f>
        <v>5</v>
      </c>
      <c r="J8" s="18" t="str">
        <f aca="false">IF(G8&gt;0,"KO",IF(H8&gt;0,"Bloqué",IF(F8=E8,"OK",IF(I8=E8,"Non testé","En cours"))))</f>
        <v>Non testé</v>
      </c>
      <c r="K8" s="10" t="n">
        <f aca="false">COUNTIFS(Anomalies!$D$5:$D$204,A8,Anomalies!$J$5:$J$204,"&lt;&gt;Fermée",Anomalies!$J$5:$J$204,"&lt;&gt;Rejetée",Anomalies!$J$5:$J$204,"&lt;&gt;")</f>
        <v>0</v>
      </c>
    </row>
    <row r="9" customFormat="false" ht="22.35" hidden="false" customHeight="false" outlineLevel="0" collapsed="false">
      <c r="A9" s="4" t="s">
        <v>182</v>
      </c>
      <c r="B9" s="5" t="s">
        <v>183</v>
      </c>
      <c r="C9" s="5" t="s">
        <v>64</v>
      </c>
      <c r="D9" s="5" t="s">
        <v>157</v>
      </c>
      <c r="E9" s="10" t="n">
        <f aca="false">COUNTIF(Exécution!$A$5:$A$239,A9)</f>
        <v>4</v>
      </c>
      <c r="F9" s="10" t="n">
        <f aca="false">COUNTIFS(Exécution!$A$5:$A$239,$A9,Exécution!$I$5:$I$239,"OK")</f>
        <v>0</v>
      </c>
      <c r="G9" s="10" t="n">
        <f aca="false">COUNTIFS(Exécution!$A$5:$A$239,$A9,Exécution!$I$5:$I$239,"KO")</f>
        <v>0</v>
      </c>
      <c r="H9" s="10" t="n">
        <f aca="false">COUNTIFS(Exécution!$A$5:$A$239,$A9,Exécution!$I$5:$I$239,"Bloqué")</f>
        <v>0</v>
      </c>
      <c r="I9" s="10" t="n">
        <f aca="false">COUNTIFS(Exécution!$A$5:$A$239,$A9,Exécution!$I$5:$I$239,"Non testé")</f>
        <v>4</v>
      </c>
      <c r="J9" s="18" t="str">
        <f aca="false">IF(G9&gt;0,"KO",IF(H9&gt;0,"Bloqué",IF(F9=E9,"OK",IF(I9=E9,"Non testé","En cours"))))</f>
        <v>Non testé</v>
      </c>
      <c r="K9" s="10" t="n">
        <f aca="false">COUNTIFS(Anomalies!$D$5:$D$204,A9,Anomalies!$J$5:$J$204,"&lt;&gt;Fermée",Anomalies!$J$5:$J$204,"&lt;&gt;Rejetée",Anomalies!$J$5:$J$204,"&lt;&gt;")</f>
        <v>0</v>
      </c>
    </row>
    <row r="10" customFormat="false" ht="15" hidden="false" customHeight="false" outlineLevel="0" collapsed="false">
      <c r="A10" s="4" t="s">
        <v>192</v>
      </c>
      <c r="B10" s="5" t="s">
        <v>193</v>
      </c>
      <c r="C10" s="5" t="s">
        <v>65</v>
      </c>
      <c r="D10" s="5" t="s">
        <v>138</v>
      </c>
      <c r="E10" s="10" t="n">
        <f aca="false">COUNTIF(Exécution!$A$5:$A$239,A10)</f>
        <v>4</v>
      </c>
      <c r="F10" s="10" t="n">
        <f aca="false">COUNTIFS(Exécution!$A$5:$A$239,$A10,Exécution!$I$5:$I$239,"OK")</f>
        <v>0</v>
      </c>
      <c r="G10" s="10" t="n">
        <f aca="false">COUNTIFS(Exécution!$A$5:$A$239,$A10,Exécution!$I$5:$I$239,"KO")</f>
        <v>0</v>
      </c>
      <c r="H10" s="10" t="n">
        <f aca="false">COUNTIFS(Exécution!$A$5:$A$239,$A10,Exécution!$I$5:$I$239,"Bloqué")</f>
        <v>0</v>
      </c>
      <c r="I10" s="10" t="n">
        <f aca="false">COUNTIFS(Exécution!$A$5:$A$239,$A10,Exécution!$I$5:$I$239,"Non testé")</f>
        <v>4</v>
      </c>
      <c r="J10" s="18" t="str">
        <f aca="false">IF(G10&gt;0,"KO",IF(H10&gt;0,"Bloqué",IF(F10=E10,"OK",IF(I10=E10,"Non testé","En cours"))))</f>
        <v>Non testé</v>
      </c>
      <c r="K10" s="10" t="n">
        <f aca="false">COUNTIFS(Anomalies!$D$5:$D$204,A10,Anomalies!$J$5:$J$204,"&lt;&gt;Fermée",Anomalies!$J$5:$J$204,"&lt;&gt;Rejetée",Anomalies!$J$5:$J$204,"&lt;&gt;")</f>
        <v>0</v>
      </c>
    </row>
    <row r="11" customFormat="false" ht="15" hidden="false" customHeight="false" outlineLevel="0" collapsed="false">
      <c r="A11" s="4" t="s">
        <v>202</v>
      </c>
      <c r="B11" s="5" t="s">
        <v>203</v>
      </c>
      <c r="C11" s="5" t="s">
        <v>65</v>
      </c>
      <c r="D11" s="5" t="s">
        <v>157</v>
      </c>
      <c r="E11" s="10" t="n">
        <f aca="false">COUNTIF(Exécution!$A$5:$A$239,A11)</f>
        <v>4</v>
      </c>
      <c r="F11" s="10" t="n">
        <f aca="false">COUNTIFS(Exécution!$A$5:$A$239,$A11,Exécution!$I$5:$I$239,"OK")</f>
        <v>0</v>
      </c>
      <c r="G11" s="10" t="n">
        <f aca="false">COUNTIFS(Exécution!$A$5:$A$239,$A11,Exécution!$I$5:$I$239,"KO")</f>
        <v>0</v>
      </c>
      <c r="H11" s="10" t="n">
        <f aca="false">COUNTIFS(Exécution!$A$5:$A$239,$A11,Exécution!$I$5:$I$239,"Bloqué")</f>
        <v>0</v>
      </c>
      <c r="I11" s="10" t="n">
        <f aca="false">COUNTIFS(Exécution!$A$5:$A$239,$A11,Exécution!$I$5:$I$239,"Non testé")</f>
        <v>4</v>
      </c>
      <c r="J11" s="18" t="str">
        <f aca="false">IF(G11&gt;0,"KO",IF(H11&gt;0,"Bloqué",IF(F11=E11,"OK",IF(I11=E11,"Non testé","En cours"))))</f>
        <v>Non testé</v>
      </c>
      <c r="K11" s="10" t="n">
        <f aca="false">COUNTIFS(Anomalies!$D$5:$D$204,A11,Anomalies!$J$5:$J$204,"&lt;&gt;Fermée",Anomalies!$J$5:$J$204,"&lt;&gt;Rejetée",Anomalies!$J$5:$J$204,"&lt;&gt;")</f>
        <v>0</v>
      </c>
    </row>
    <row r="12" customFormat="false" ht="15" hidden="false" customHeight="false" outlineLevel="0" collapsed="false">
      <c r="A12" s="4" t="s">
        <v>213</v>
      </c>
      <c r="B12" s="5" t="s">
        <v>214</v>
      </c>
      <c r="C12" s="5" t="s">
        <v>65</v>
      </c>
      <c r="D12" s="5" t="s">
        <v>157</v>
      </c>
      <c r="E12" s="10" t="n">
        <f aca="false">COUNTIF(Exécution!$A$5:$A$239,A12)</f>
        <v>5</v>
      </c>
      <c r="F12" s="10" t="n">
        <f aca="false">COUNTIFS(Exécution!$A$5:$A$239,$A12,Exécution!$I$5:$I$239,"OK")</f>
        <v>0</v>
      </c>
      <c r="G12" s="10" t="n">
        <f aca="false">COUNTIFS(Exécution!$A$5:$A$239,$A12,Exécution!$I$5:$I$239,"KO")</f>
        <v>0</v>
      </c>
      <c r="H12" s="10" t="n">
        <f aca="false">COUNTIFS(Exécution!$A$5:$A$239,$A12,Exécution!$I$5:$I$239,"Bloqué")</f>
        <v>0</v>
      </c>
      <c r="I12" s="10" t="n">
        <f aca="false">COUNTIFS(Exécution!$A$5:$A$239,$A12,Exécution!$I$5:$I$239,"Non testé")</f>
        <v>5</v>
      </c>
      <c r="J12" s="18" t="str">
        <f aca="false">IF(G12&gt;0,"KO",IF(H12&gt;0,"Bloqué",IF(F12=E12,"OK",IF(I12=E12,"Non testé","En cours"))))</f>
        <v>Non testé</v>
      </c>
      <c r="K12" s="10" t="n">
        <f aca="false">COUNTIFS(Anomalies!$D$5:$D$204,A12,Anomalies!$J$5:$J$204,"&lt;&gt;Fermée",Anomalies!$J$5:$J$204,"&lt;&gt;Rejetée",Anomalies!$J$5:$J$204,"&lt;&gt;")</f>
        <v>0</v>
      </c>
    </row>
    <row r="13" customFormat="false" ht="22.35" hidden="false" customHeight="false" outlineLevel="0" collapsed="false">
      <c r="A13" s="4" t="s">
        <v>225</v>
      </c>
      <c r="B13" s="5" t="s">
        <v>226</v>
      </c>
      <c r="C13" s="5" t="s">
        <v>65</v>
      </c>
      <c r="D13" s="5" t="s">
        <v>227</v>
      </c>
      <c r="E13" s="10" t="n">
        <f aca="false">COUNTIF(Exécution!$A$5:$A$239,A13)</f>
        <v>4</v>
      </c>
      <c r="F13" s="10" t="n">
        <f aca="false">COUNTIFS(Exécution!$A$5:$A$239,$A13,Exécution!$I$5:$I$239,"OK")</f>
        <v>0</v>
      </c>
      <c r="G13" s="10" t="n">
        <f aca="false">COUNTIFS(Exécution!$A$5:$A$239,$A13,Exécution!$I$5:$I$239,"KO")</f>
        <v>0</v>
      </c>
      <c r="H13" s="10" t="n">
        <f aca="false">COUNTIFS(Exécution!$A$5:$A$239,$A13,Exécution!$I$5:$I$239,"Bloqué")</f>
        <v>0</v>
      </c>
      <c r="I13" s="10" t="n">
        <f aca="false">COUNTIFS(Exécution!$A$5:$A$239,$A13,Exécution!$I$5:$I$239,"Non testé")</f>
        <v>4</v>
      </c>
      <c r="J13" s="18" t="str">
        <f aca="false">IF(G13&gt;0,"KO",IF(H13&gt;0,"Bloqué",IF(F13=E13,"OK",IF(I13=E13,"Non testé","En cours"))))</f>
        <v>Non testé</v>
      </c>
      <c r="K13" s="10" t="n">
        <f aca="false">COUNTIFS(Anomalies!$D$5:$D$204,A13,Anomalies!$J$5:$J$204,"&lt;&gt;Fermée",Anomalies!$J$5:$J$204,"&lt;&gt;Rejetée",Anomalies!$J$5:$J$204,"&lt;&gt;")</f>
        <v>0</v>
      </c>
    </row>
    <row r="14" customFormat="false" ht="15" hidden="false" customHeight="false" outlineLevel="0" collapsed="false">
      <c r="A14" s="4" t="s">
        <v>236</v>
      </c>
      <c r="B14" s="5" t="s">
        <v>237</v>
      </c>
      <c r="C14" s="5" t="s">
        <v>65</v>
      </c>
      <c r="D14" s="5" t="s">
        <v>138</v>
      </c>
      <c r="E14" s="10" t="n">
        <f aca="false">COUNTIF(Exécution!$A$5:$A$239,A14)</f>
        <v>5</v>
      </c>
      <c r="F14" s="10" t="n">
        <f aca="false">COUNTIFS(Exécution!$A$5:$A$239,$A14,Exécution!$I$5:$I$239,"OK")</f>
        <v>0</v>
      </c>
      <c r="G14" s="10" t="n">
        <f aca="false">COUNTIFS(Exécution!$A$5:$A$239,$A14,Exécution!$I$5:$I$239,"KO")</f>
        <v>0</v>
      </c>
      <c r="H14" s="10" t="n">
        <f aca="false">COUNTIFS(Exécution!$A$5:$A$239,$A14,Exécution!$I$5:$I$239,"Bloqué")</f>
        <v>0</v>
      </c>
      <c r="I14" s="10" t="n">
        <f aca="false">COUNTIFS(Exécution!$A$5:$A$239,$A14,Exécution!$I$5:$I$239,"Non testé")</f>
        <v>5</v>
      </c>
      <c r="J14" s="18" t="str">
        <f aca="false">IF(G14&gt;0,"KO",IF(H14&gt;0,"Bloqué",IF(F14=E14,"OK",IF(I14=E14,"Non testé","En cours"))))</f>
        <v>Non testé</v>
      </c>
      <c r="K14" s="10" t="n">
        <f aca="false">COUNTIFS(Anomalies!$D$5:$D$204,A14,Anomalies!$J$5:$J$204,"&lt;&gt;Fermée",Anomalies!$J$5:$J$204,"&lt;&gt;Rejetée",Anomalies!$J$5:$J$204,"&lt;&gt;")</f>
        <v>0</v>
      </c>
    </row>
    <row r="15" customFormat="false" ht="15" hidden="false" customHeight="false" outlineLevel="0" collapsed="false">
      <c r="A15" s="4" t="s">
        <v>247</v>
      </c>
      <c r="B15" s="5" t="s">
        <v>248</v>
      </c>
      <c r="C15" s="5" t="s">
        <v>66</v>
      </c>
      <c r="D15" s="5" t="s">
        <v>138</v>
      </c>
      <c r="E15" s="10" t="n">
        <f aca="false">COUNTIF(Exécution!$A$5:$A$239,A15)</f>
        <v>5</v>
      </c>
      <c r="F15" s="10" t="n">
        <f aca="false">COUNTIFS(Exécution!$A$5:$A$239,$A15,Exécution!$I$5:$I$239,"OK")</f>
        <v>0</v>
      </c>
      <c r="G15" s="10" t="n">
        <f aca="false">COUNTIFS(Exécution!$A$5:$A$239,$A15,Exécution!$I$5:$I$239,"KO")</f>
        <v>0</v>
      </c>
      <c r="H15" s="10" t="n">
        <f aca="false">COUNTIFS(Exécution!$A$5:$A$239,$A15,Exécution!$I$5:$I$239,"Bloqué")</f>
        <v>0</v>
      </c>
      <c r="I15" s="10" t="n">
        <f aca="false">COUNTIFS(Exécution!$A$5:$A$239,$A15,Exécution!$I$5:$I$239,"Non testé")</f>
        <v>5</v>
      </c>
      <c r="J15" s="18" t="str">
        <f aca="false">IF(G15&gt;0,"KO",IF(H15&gt;0,"Bloqué",IF(F15=E15,"OK",IF(I15=E15,"Non testé","En cours"))))</f>
        <v>Non testé</v>
      </c>
      <c r="K15" s="10" t="n">
        <f aca="false">COUNTIFS(Anomalies!$D$5:$D$204,A15,Anomalies!$J$5:$J$204,"&lt;&gt;Fermée",Anomalies!$J$5:$J$204,"&lt;&gt;Rejetée",Anomalies!$J$5:$J$204,"&lt;&gt;")</f>
        <v>0</v>
      </c>
    </row>
    <row r="16" customFormat="false" ht="15" hidden="false" customHeight="false" outlineLevel="0" collapsed="false">
      <c r="A16" s="4" t="s">
        <v>259</v>
      </c>
      <c r="B16" s="5" t="s">
        <v>260</v>
      </c>
      <c r="C16" s="5" t="s">
        <v>66</v>
      </c>
      <c r="D16" s="5" t="s">
        <v>138</v>
      </c>
      <c r="E16" s="10" t="n">
        <f aca="false">COUNTIF(Exécution!$A$5:$A$239,A16)</f>
        <v>5</v>
      </c>
      <c r="F16" s="10" t="n">
        <f aca="false">COUNTIFS(Exécution!$A$5:$A$239,$A16,Exécution!$I$5:$I$239,"OK")</f>
        <v>0</v>
      </c>
      <c r="G16" s="10" t="n">
        <f aca="false">COUNTIFS(Exécution!$A$5:$A$239,$A16,Exécution!$I$5:$I$239,"KO")</f>
        <v>0</v>
      </c>
      <c r="H16" s="10" t="n">
        <f aca="false">COUNTIFS(Exécution!$A$5:$A$239,$A16,Exécution!$I$5:$I$239,"Bloqué")</f>
        <v>0</v>
      </c>
      <c r="I16" s="10" t="n">
        <f aca="false">COUNTIFS(Exécution!$A$5:$A$239,$A16,Exécution!$I$5:$I$239,"Non testé")</f>
        <v>5</v>
      </c>
      <c r="J16" s="18" t="str">
        <f aca="false">IF(G16&gt;0,"KO",IF(H16&gt;0,"Bloqué",IF(F16=E16,"OK",IF(I16=E16,"Non testé","En cours"))))</f>
        <v>Non testé</v>
      </c>
      <c r="K16" s="10" t="n">
        <f aca="false">COUNTIFS(Anomalies!$D$5:$D$204,A16,Anomalies!$J$5:$J$204,"&lt;&gt;Fermée",Anomalies!$J$5:$J$204,"&lt;&gt;Rejetée",Anomalies!$J$5:$J$204,"&lt;&gt;")</f>
        <v>0</v>
      </c>
    </row>
    <row r="17" customFormat="false" ht="15" hidden="false" customHeight="false" outlineLevel="0" collapsed="false">
      <c r="A17" s="4" t="s">
        <v>271</v>
      </c>
      <c r="B17" s="5" t="s">
        <v>272</v>
      </c>
      <c r="C17" s="5" t="s">
        <v>66</v>
      </c>
      <c r="D17" s="5" t="s">
        <v>157</v>
      </c>
      <c r="E17" s="10" t="n">
        <f aca="false">COUNTIF(Exécution!$A$5:$A$239,A17)</f>
        <v>7</v>
      </c>
      <c r="F17" s="10" t="n">
        <f aca="false">COUNTIFS(Exécution!$A$5:$A$239,$A17,Exécution!$I$5:$I$239,"OK")</f>
        <v>0</v>
      </c>
      <c r="G17" s="10" t="n">
        <f aca="false">COUNTIFS(Exécution!$A$5:$A$239,$A17,Exécution!$I$5:$I$239,"KO")</f>
        <v>0</v>
      </c>
      <c r="H17" s="10" t="n">
        <f aca="false">COUNTIFS(Exécution!$A$5:$A$239,$A17,Exécution!$I$5:$I$239,"Bloqué")</f>
        <v>0</v>
      </c>
      <c r="I17" s="10" t="n">
        <f aca="false">COUNTIFS(Exécution!$A$5:$A$239,$A17,Exécution!$I$5:$I$239,"Non testé")</f>
        <v>7</v>
      </c>
      <c r="J17" s="18" t="str">
        <f aca="false">IF(G17&gt;0,"KO",IF(H17&gt;0,"Bloqué",IF(F17=E17,"OK",IF(I17=E17,"Non testé","En cours"))))</f>
        <v>Non testé</v>
      </c>
      <c r="K17" s="10" t="n">
        <f aca="false">COUNTIFS(Anomalies!$D$5:$D$204,A17,Anomalies!$J$5:$J$204,"&lt;&gt;Fermée",Anomalies!$J$5:$J$204,"&lt;&gt;Rejetée",Anomalies!$J$5:$J$204,"&lt;&gt;")</f>
        <v>0</v>
      </c>
    </row>
    <row r="18" customFormat="false" ht="22.35" hidden="false" customHeight="false" outlineLevel="0" collapsed="false">
      <c r="A18" s="4" t="s">
        <v>287</v>
      </c>
      <c r="B18" s="5" t="s">
        <v>288</v>
      </c>
      <c r="C18" s="5" t="s">
        <v>66</v>
      </c>
      <c r="D18" s="5" t="s">
        <v>157</v>
      </c>
      <c r="E18" s="10" t="n">
        <f aca="false">COUNTIF(Exécution!$A$5:$A$239,A18)</f>
        <v>6</v>
      </c>
      <c r="F18" s="10" t="n">
        <f aca="false">COUNTIFS(Exécution!$A$5:$A$239,$A18,Exécution!$I$5:$I$239,"OK")</f>
        <v>0</v>
      </c>
      <c r="G18" s="10" t="n">
        <f aca="false">COUNTIFS(Exécution!$A$5:$A$239,$A18,Exécution!$I$5:$I$239,"KO")</f>
        <v>0</v>
      </c>
      <c r="H18" s="10" t="n">
        <f aca="false">COUNTIFS(Exécution!$A$5:$A$239,$A18,Exécution!$I$5:$I$239,"Bloqué")</f>
        <v>0</v>
      </c>
      <c r="I18" s="10" t="n">
        <f aca="false">COUNTIFS(Exécution!$A$5:$A$239,$A18,Exécution!$I$5:$I$239,"Non testé")</f>
        <v>6</v>
      </c>
      <c r="J18" s="18" t="str">
        <f aca="false">IF(G18&gt;0,"KO",IF(H18&gt;0,"Bloqué",IF(F18=E18,"OK",IF(I18=E18,"Non testé","En cours"))))</f>
        <v>Non testé</v>
      </c>
      <c r="K18" s="10" t="n">
        <f aca="false">COUNTIFS(Anomalies!$D$5:$D$204,A18,Anomalies!$J$5:$J$204,"&lt;&gt;Fermée",Anomalies!$J$5:$J$204,"&lt;&gt;Rejetée",Anomalies!$J$5:$J$204,"&lt;&gt;")</f>
        <v>0</v>
      </c>
    </row>
    <row r="19" customFormat="false" ht="15" hidden="false" customHeight="false" outlineLevel="0" collapsed="false">
      <c r="A19" s="4" t="s">
        <v>303</v>
      </c>
      <c r="B19" s="5" t="s">
        <v>304</v>
      </c>
      <c r="C19" s="5" t="s">
        <v>67</v>
      </c>
      <c r="D19" s="5" t="s">
        <v>138</v>
      </c>
      <c r="E19" s="10" t="n">
        <f aca="false">COUNTIF(Exécution!$A$5:$A$239,A19)</f>
        <v>5</v>
      </c>
      <c r="F19" s="10" t="n">
        <f aca="false">COUNTIFS(Exécution!$A$5:$A$239,$A19,Exécution!$I$5:$I$239,"OK")</f>
        <v>0</v>
      </c>
      <c r="G19" s="10" t="n">
        <f aca="false">COUNTIFS(Exécution!$A$5:$A$239,$A19,Exécution!$I$5:$I$239,"KO")</f>
        <v>0</v>
      </c>
      <c r="H19" s="10" t="n">
        <f aca="false">COUNTIFS(Exécution!$A$5:$A$239,$A19,Exécution!$I$5:$I$239,"Bloqué")</f>
        <v>0</v>
      </c>
      <c r="I19" s="10" t="n">
        <f aca="false">COUNTIFS(Exécution!$A$5:$A$239,$A19,Exécution!$I$5:$I$239,"Non testé")</f>
        <v>5</v>
      </c>
      <c r="J19" s="18" t="str">
        <f aca="false">IF(G19&gt;0,"KO",IF(H19&gt;0,"Bloqué",IF(F19=E19,"OK",IF(I19=E19,"Non testé","En cours"))))</f>
        <v>Non testé</v>
      </c>
      <c r="K19" s="10" t="n">
        <f aca="false">COUNTIFS(Anomalies!$D$5:$D$204,A19,Anomalies!$J$5:$J$204,"&lt;&gt;Fermée",Anomalies!$J$5:$J$204,"&lt;&gt;Rejetée",Anomalies!$J$5:$J$204,"&lt;&gt;")</f>
        <v>0</v>
      </c>
    </row>
    <row r="20" customFormat="false" ht="15" hidden="false" customHeight="false" outlineLevel="0" collapsed="false">
      <c r="A20" s="4" t="s">
        <v>315</v>
      </c>
      <c r="B20" s="5" t="s">
        <v>316</v>
      </c>
      <c r="C20" s="5" t="s">
        <v>67</v>
      </c>
      <c r="D20" s="5" t="s">
        <v>157</v>
      </c>
      <c r="E20" s="10" t="n">
        <f aca="false">COUNTIF(Exécution!$A$5:$A$239,A20)</f>
        <v>4</v>
      </c>
      <c r="F20" s="10" t="n">
        <f aca="false">COUNTIFS(Exécution!$A$5:$A$239,$A20,Exécution!$I$5:$I$239,"OK")</f>
        <v>0</v>
      </c>
      <c r="G20" s="10" t="n">
        <f aca="false">COUNTIFS(Exécution!$A$5:$A$239,$A20,Exécution!$I$5:$I$239,"KO")</f>
        <v>0</v>
      </c>
      <c r="H20" s="10" t="n">
        <f aca="false">COUNTIFS(Exécution!$A$5:$A$239,$A20,Exécution!$I$5:$I$239,"Bloqué")</f>
        <v>0</v>
      </c>
      <c r="I20" s="10" t="n">
        <f aca="false">COUNTIFS(Exécution!$A$5:$A$239,$A20,Exécution!$I$5:$I$239,"Non testé")</f>
        <v>4</v>
      </c>
      <c r="J20" s="18" t="str">
        <f aca="false">IF(G20&gt;0,"KO",IF(H20&gt;0,"Bloqué",IF(F20=E20,"OK",IF(I20=E20,"Non testé","En cours"))))</f>
        <v>Non testé</v>
      </c>
      <c r="K20" s="10" t="n">
        <f aca="false">COUNTIFS(Anomalies!$D$5:$D$204,A20,Anomalies!$J$5:$J$204,"&lt;&gt;Fermée",Anomalies!$J$5:$J$204,"&lt;&gt;Rejetée",Anomalies!$J$5:$J$204,"&lt;&gt;")</f>
        <v>0</v>
      </c>
    </row>
    <row r="21" customFormat="false" ht="15" hidden="false" customHeight="false" outlineLevel="0" collapsed="false">
      <c r="A21" s="4" t="s">
        <v>325</v>
      </c>
      <c r="B21" s="5" t="s">
        <v>326</v>
      </c>
      <c r="C21" s="5" t="s">
        <v>67</v>
      </c>
      <c r="D21" s="5" t="s">
        <v>138</v>
      </c>
      <c r="E21" s="10" t="n">
        <f aca="false">COUNTIF(Exécution!$A$5:$A$239,A21)</f>
        <v>7</v>
      </c>
      <c r="F21" s="10" t="n">
        <f aca="false">COUNTIFS(Exécution!$A$5:$A$239,$A21,Exécution!$I$5:$I$239,"OK")</f>
        <v>0</v>
      </c>
      <c r="G21" s="10" t="n">
        <f aca="false">COUNTIFS(Exécution!$A$5:$A$239,$A21,Exécution!$I$5:$I$239,"KO")</f>
        <v>0</v>
      </c>
      <c r="H21" s="10" t="n">
        <f aca="false">COUNTIFS(Exécution!$A$5:$A$239,$A21,Exécution!$I$5:$I$239,"Bloqué")</f>
        <v>0</v>
      </c>
      <c r="I21" s="10" t="n">
        <f aca="false">COUNTIFS(Exécution!$A$5:$A$239,$A21,Exécution!$I$5:$I$239,"Non testé")</f>
        <v>7</v>
      </c>
      <c r="J21" s="18" t="str">
        <f aca="false">IF(G21&gt;0,"KO",IF(H21&gt;0,"Bloqué",IF(F21=E21,"OK",IF(I21=E21,"Non testé","En cours"))))</f>
        <v>Non testé</v>
      </c>
      <c r="K21" s="10" t="n">
        <f aca="false">COUNTIFS(Anomalies!$D$5:$D$204,A21,Anomalies!$J$5:$J$204,"&lt;&gt;Fermée",Anomalies!$J$5:$J$204,"&lt;&gt;Rejetée",Anomalies!$J$5:$J$204,"&lt;&gt;")</f>
        <v>0</v>
      </c>
    </row>
    <row r="22" customFormat="false" ht="15" hidden="false" customHeight="false" outlineLevel="0" collapsed="false">
      <c r="A22" s="4" t="s">
        <v>341</v>
      </c>
      <c r="B22" s="5" t="s">
        <v>342</v>
      </c>
      <c r="C22" s="5" t="s">
        <v>67</v>
      </c>
      <c r="D22" s="5" t="s">
        <v>157</v>
      </c>
      <c r="E22" s="10" t="n">
        <f aca="false">COUNTIF(Exécution!$A$5:$A$239,A22)</f>
        <v>6</v>
      </c>
      <c r="F22" s="10" t="n">
        <f aca="false">COUNTIFS(Exécution!$A$5:$A$239,$A22,Exécution!$I$5:$I$239,"OK")</f>
        <v>0</v>
      </c>
      <c r="G22" s="10" t="n">
        <f aca="false">COUNTIFS(Exécution!$A$5:$A$239,$A22,Exécution!$I$5:$I$239,"KO")</f>
        <v>0</v>
      </c>
      <c r="H22" s="10" t="n">
        <f aca="false">COUNTIFS(Exécution!$A$5:$A$239,$A22,Exécution!$I$5:$I$239,"Bloqué")</f>
        <v>0</v>
      </c>
      <c r="I22" s="10" t="n">
        <f aca="false">COUNTIFS(Exécution!$A$5:$A$239,$A22,Exécution!$I$5:$I$239,"Non testé")</f>
        <v>6</v>
      </c>
      <c r="J22" s="18" t="str">
        <f aca="false">IF(G22&gt;0,"KO",IF(H22&gt;0,"Bloqué",IF(F22=E22,"OK",IF(I22=E22,"Non testé","En cours"))))</f>
        <v>Non testé</v>
      </c>
      <c r="K22" s="10" t="n">
        <f aca="false">COUNTIFS(Anomalies!$D$5:$D$204,A22,Anomalies!$J$5:$J$204,"&lt;&gt;Fermée",Anomalies!$J$5:$J$204,"&lt;&gt;Rejetée",Anomalies!$J$5:$J$204,"&lt;&gt;")</f>
        <v>0</v>
      </c>
    </row>
    <row r="23" customFormat="false" ht="15" hidden="false" customHeight="false" outlineLevel="0" collapsed="false">
      <c r="A23" s="4" t="s">
        <v>353</v>
      </c>
      <c r="B23" s="5" t="s">
        <v>354</v>
      </c>
      <c r="C23" s="5" t="s">
        <v>67</v>
      </c>
      <c r="D23" s="5" t="s">
        <v>157</v>
      </c>
      <c r="E23" s="10" t="n">
        <f aca="false">COUNTIF(Exécution!$A$5:$A$239,A23)</f>
        <v>2</v>
      </c>
      <c r="F23" s="10" t="n">
        <f aca="false">COUNTIFS(Exécution!$A$5:$A$239,$A23,Exécution!$I$5:$I$239,"OK")</f>
        <v>0</v>
      </c>
      <c r="G23" s="10" t="n">
        <f aca="false">COUNTIFS(Exécution!$A$5:$A$239,$A23,Exécution!$I$5:$I$239,"KO")</f>
        <v>0</v>
      </c>
      <c r="H23" s="10" t="n">
        <f aca="false">COUNTIFS(Exécution!$A$5:$A$239,$A23,Exécution!$I$5:$I$239,"Bloqué")</f>
        <v>0</v>
      </c>
      <c r="I23" s="10" t="n">
        <f aca="false">COUNTIFS(Exécution!$A$5:$A$239,$A23,Exécution!$I$5:$I$239,"Non testé")</f>
        <v>2</v>
      </c>
      <c r="J23" s="18" t="str">
        <f aca="false">IF(G23&gt;0,"KO",IF(H23&gt;0,"Bloqué",IF(F23=E23,"OK",IF(I23=E23,"Non testé","En cours"))))</f>
        <v>Non testé</v>
      </c>
      <c r="K23" s="10" t="n">
        <f aca="false">COUNTIFS(Anomalies!$D$5:$D$204,A23,Anomalies!$J$5:$J$204,"&lt;&gt;Fermée",Anomalies!$J$5:$J$204,"&lt;&gt;Rejetée",Anomalies!$J$5:$J$204,"&lt;&gt;")</f>
        <v>0</v>
      </c>
    </row>
    <row r="24" customFormat="false" ht="15" hidden="false" customHeight="false" outlineLevel="0" collapsed="false">
      <c r="A24" s="4" t="s">
        <v>359</v>
      </c>
      <c r="B24" s="5" t="s">
        <v>360</v>
      </c>
      <c r="C24" s="5" t="s">
        <v>67</v>
      </c>
      <c r="D24" s="5" t="s">
        <v>157</v>
      </c>
      <c r="E24" s="10" t="n">
        <f aca="false">COUNTIF(Exécution!$A$5:$A$239,A24)</f>
        <v>6</v>
      </c>
      <c r="F24" s="10" t="n">
        <f aca="false">COUNTIFS(Exécution!$A$5:$A$239,$A24,Exécution!$I$5:$I$239,"OK")</f>
        <v>0</v>
      </c>
      <c r="G24" s="10" t="n">
        <f aca="false">COUNTIFS(Exécution!$A$5:$A$239,$A24,Exécution!$I$5:$I$239,"KO")</f>
        <v>0</v>
      </c>
      <c r="H24" s="10" t="n">
        <f aca="false">COUNTIFS(Exécution!$A$5:$A$239,$A24,Exécution!$I$5:$I$239,"Bloqué")</f>
        <v>0</v>
      </c>
      <c r="I24" s="10" t="n">
        <f aca="false">COUNTIFS(Exécution!$A$5:$A$239,$A24,Exécution!$I$5:$I$239,"Non testé")</f>
        <v>6</v>
      </c>
      <c r="J24" s="18" t="str">
        <f aca="false">IF(G24&gt;0,"KO",IF(H24&gt;0,"Bloqué",IF(F24=E24,"OK",IF(I24=E24,"Non testé","En cours"))))</f>
        <v>Non testé</v>
      </c>
      <c r="K24" s="10" t="n">
        <f aca="false">COUNTIFS(Anomalies!$D$5:$D$204,A24,Anomalies!$J$5:$J$204,"&lt;&gt;Fermée",Anomalies!$J$5:$J$204,"&lt;&gt;Rejetée",Anomalies!$J$5:$J$204,"&lt;&gt;")</f>
        <v>0</v>
      </c>
    </row>
    <row r="25" customFormat="false" ht="15" hidden="false" customHeight="false" outlineLevel="0" collapsed="false">
      <c r="A25" s="4" t="s">
        <v>373</v>
      </c>
      <c r="B25" s="5" t="s">
        <v>374</v>
      </c>
      <c r="C25" s="5" t="s">
        <v>67</v>
      </c>
      <c r="D25" s="5" t="s">
        <v>227</v>
      </c>
      <c r="E25" s="10" t="n">
        <f aca="false">COUNTIF(Exécution!$A$5:$A$239,A25)</f>
        <v>4</v>
      </c>
      <c r="F25" s="10" t="n">
        <f aca="false">COUNTIFS(Exécution!$A$5:$A$239,$A25,Exécution!$I$5:$I$239,"OK")</f>
        <v>0</v>
      </c>
      <c r="G25" s="10" t="n">
        <f aca="false">COUNTIFS(Exécution!$A$5:$A$239,$A25,Exécution!$I$5:$I$239,"KO")</f>
        <v>0</v>
      </c>
      <c r="H25" s="10" t="n">
        <f aca="false">COUNTIFS(Exécution!$A$5:$A$239,$A25,Exécution!$I$5:$I$239,"Bloqué")</f>
        <v>0</v>
      </c>
      <c r="I25" s="10" t="n">
        <f aca="false">COUNTIFS(Exécution!$A$5:$A$239,$A25,Exécution!$I$5:$I$239,"Non testé")</f>
        <v>4</v>
      </c>
      <c r="J25" s="18" t="str">
        <f aca="false">IF(G25&gt;0,"KO",IF(H25&gt;0,"Bloqué",IF(F25=E25,"OK",IF(I25=E25,"Non testé","En cours"))))</f>
        <v>Non testé</v>
      </c>
      <c r="K25" s="10" t="n">
        <f aca="false">COUNTIFS(Anomalies!$D$5:$D$204,A25,Anomalies!$J$5:$J$204,"&lt;&gt;Fermée",Anomalies!$J$5:$J$204,"&lt;&gt;Rejetée",Anomalies!$J$5:$J$204,"&lt;&gt;")</f>
        <v>0</v>
      </c>
    </row>
    <row r="26" customFormat="false" ht="15" hidden="false" customHeight="false" outlineLevel="0" collapsed="false">
      <c r="A26" s="4" t="s">
        <v>383</v>
      </c>
      <c r="B26" s="5" t="s">
        <v>384</v>
      </c>
      <c r="C26" s="5" t="s">
        <v>67</v>
      </c>
      <c r="D26" s="5" t="s">
        <v>157</v>
      </c>
      <c r="E26" s="10" t="n">
        <f aca="false">COUNTIF(Exécution!$A$5:$A$239,A26)</f>
        <v>4</v>
      </c>
      <c r="F26" s="10" t="n">
        <f aca="false">COUNTIFS(Exécution!$A$5:$A$239,$A26,Exécution!$I$5:$I$239,"OK")</f>
        <v>0</v>
      </c>
      <c r="G26" s="10" t="n">
        <f aca="false">COUNTIFS(Exécution!$A$5:$A$239,$A26,Exécution!$I$5:$I$239,"KO")</f>
        <v>0</v>
      </c>
      <c r="H26" s="10" t="n">
        <f aca="false">COUNTIFS(Exécution!$A$5:$A$239,$A26,Exécution!$I$5:$I$239,"Bloqué")</f>
        <v>0</v>
      </c>
      <c r="I26" s="10" t="n">
        <f aca="false">COUNTIFS(Exécution!$A$5:$A$239,$A26,Exécution!$I$5:$I$239,"Non testé")</f>
        <v>4</v>
      </c>
      <c r="J26" s="18" t="str">
        <f aca="false">IF(G26&gt;0,"KO",IF(H26&gt;0,"Bloqué",IF(F26=E26,"OK",IF(I26=E26,"Non testé","En cours"))))</f>
        <v>Non testé</v>
      </c>
      <c r="K26" s="10" t="n">
        <f aca="false">COUNTIFS(Anomalies!$D$5:$D$204,A26,Anomalies!$J$5:$J$204,"&lt;&gt;Fermée",Anomalies!$J$5:$J$204,"&lt;&gt;Rejetée",Anomalies!$J$5:$J$204,"&lt;&gt;")</f>
        <v>0</v>
      </c>
    </row>
    <row r="27" customFormat="false" ht="15" hidden="false" customHeight="false" outlineLevel="0" collapsed="false">
      <c r="A27" s="4" t="s">
        <v>393</v>
      </c>
      <c r="B27" s="5" t="s">
        <v>394</v>
      </c>
      <c r="C27" s="5" t="s">
        <v>67</v>
      </c>
      <c r="D27" s="5" t="s">
        <v>138</v>
      </c>
      <c r="E27" s="10" t="n">
        <f aca="false">COUNTIF(Exécution!$A$5:$A$239,A27)</f>
        <v>5</v>
      </c>
      <c r="F27" s="10" t="n">
        <f aca="false">COUNTIFS(Exécution!$A$5:$A$239,$A27,Exécution!$I$5:$I$239,"OK")</f>
        <v>0</v>
      </c>
      <c r="G27" s="10" t="n">
        <f aca="false">COUNTIFS(Exécution!$A$5:$A$239,$A27,Exécution!$I$5:$I$239,"KO")</f>
        <v>0</v>
      </c>
      <c r="H27" s="10" t="n">
        <f aca="false">COUNTIFS(Exécution!$A$5:$A$239,$A27,Exécution!$I$5:$I$239,"Bloqué")</f>
        <v>0</v>
      </c>
      <c r="I27" s="10" t="n">
        <f aca="false">COUNTIFS(Exécution!$A$5:$A$239,$A27,Exécution!$I$5:$I$239,"Non testé")</f>
        <v>5</v>
      </c>
      <c r="J27" s="18" t="str">
        <f aca="false">IF(G27&gt;0,"KO",IF(H27&gt;0,"Bloqué",IF(F27=E27,"OK",IF(I27=E27,"Non testé","En cours"))))</f>
        <v>Non testé</v>
      </c>
      <c r="K27" s="10" t="n">
        <f aca="false">COUNTIFS(Anomalies!$D$5:$D$204,A27,Anomalies!$J$5:$J$204,"&lt;&gt;Fermée",Anomalies!$J$5:$J$204,"&lt;&gt;Rejetée",Anomalies!$J$5:$J$204,"&lt;&gt;")</f>
        <v>0</v>
      </c>
    </row>
    <row r="28" customFormat="false" ht="15" hidden="false" customHeight="false" outlineLevel="0" collapsed="false">
      <c r="A28" s="4" t="s">
        <v>405</v>
      </c>
      <c r="B28" s="5" t="s">
        <v>406</v>
      </c>
      <c r="C28" s="5" t="s">
        <v>67</v>
      </c>
      <c r="D28" s="5" t="s">
        <v>227</v>
      </c>
      <c r="E28" s="10" t="n">
        <f aca="false">COUNTIF(Exécution!$A$5:$A$239,A28)</f>
        <v>2</v>
      </c>
      <c r="F28" s="10" t="n">
        <f aca="false">COUNTIFS(Exécution!$A$5:$A$239,$A28,Exécution!$I$5:$I$239,"OK")</f>
        <v>0</v>
      </c>
      <c r="G28" s="10" t="n">
        <f aca="false">COUNTIFS(Exécution!$A$5:$A$239,$A28,Exécution!$I$5:$I$239,"KO")</f>
        <v>0</v>
      </c>
      <c r="H28" s="10" t="n">
        <f aca="false">COUNTIFS(Exécution!$A$5:$A$239,$A28,Exécution!$I$5:$I$239,"Bloqué")</f>
        <v>0</v>
      </c>
      <c r="I28" s="10" t="n">
        <f aca="false">COUNTIFS(Exécution!$A$5:$A$239,$A28,Exécution!$I$5:$I$239,"Non testé")</f>
        <v>2</v>
      </c>
      <c r="J28" s="18" t="str">
        <f aca="false">IF(G28&gt;0,"KO",IF(H28&gt;0,"Bloqué",IF(F28=E28,"OK",IF(I28=E28,"Non testé","En cours"))))</f>
        <v>Non testé</v>
      </c>
      <c r="K28" s="10" t="n">
        <f aca="false">COUNTIFS(Anomalies!$D$5:$D$204,A28,Anomalies!$J$5:$J$204,"&lt;&gt;Fermée",Anomalies!$J$5:$J$204,"&lt;&gt;Rejetée",Anomalies!$J$5:$J$204,"&lt;&gt;")</f>
        <v>0</v>
      </c>
    </row>
    <row r="29" customFormat="false" ht="15" hidden="false" customHeight="false" outlineLevel="0" collapsed="false">
      <c r="A29" s="4" t="s">
        <v>411</v>
      </c>
      <c r="B29" s="5" t="s">
        <v>412</v>
      </c>
      <c r="C29" s="5" t="s">
        <v>68</v>
      </c>
      <c r="D29" s="5" t="s">
        <v>138</v>
      </c>
      <c r="E29" s="10" t="n">
        <f aca="false">COUNTIF(Exécution!$A$5:$A$239,A29)</f>
        <v>4</v>
      </c>
      <c r="F29" s="10" t="n">
        <f aca="false">COUNTIFS(Exécution!$A$5:$A$239,$A29,Exécution!$I$5:$I$239,"OK")</f>
        <v>0</v>
      </c>
      <c r="G29" s="10" t="n">
        <f aca="false">COUNTIFS(Exécution!$A$5:$A$239,$A29,Exécution!$I$5:$I$239,"KO")</f>
        <v>0</v>
      </c>
      <c r="H29" s="10" t="n">
        <f aca="false">COUNTIFS(Exécution!$A$5:$A$239,$A29,Exécution!$I$5:$I$239,"Bloqué")</f>
        <v>0</v>
      </c>
      <c r="I29" s="10" t="n">
        <f aca="false">COUNTIFS(Exécution!$A$5:$A$239,$A29,Exécution!$I$5:$I$239,"Non testé")</f>
        <v>4</v>
      </c>
      <c r="J29" s="18" t="str">
        <f aca="false">IF(G29&gt;0,"KO",IF(H29&gt;0,"Bloqué",IF(F29=E29,"OK",IF(I29=E29,"Non testé","En cours"))))</f>
        <v>Non testé</v>
      </c>
      <c r="K29" s="10" t="n">
        <f aca="false">COUNTIFS(Anomalies!$D$5:$D$204,A29,Anomalies!$J$5:$J$204,"&lt;&gt;Fermée",Anomalies!$J$5:$J$204,"&lt;&gt;Rejetée",Anomalies!$J$5:$J$204,"&lt;&gt;")</f>
        <v>0</v>
      </c>
    </row>
    <row r="30" customFormat="false" ht="15" hidden="false" customHeight="false" outlineLevel="0" collapsed="false">
      <c r="A30" s="4" t="s">
        <v>421</v>
      </c>
      <c r="B30" s="5" t="s">
        <v>422</v>
      </c>
      <c r="C30" s="5" t="s">
        <v>68</v>
      </c>
      <c r="D30" s="5" t="s">
        <v>138</v>
      </c>
      <c r="E30" s="10" t="n">
        <f aca="false">COUNTIF(Exécution!$A$5:$A$239,A30)</f>
        <v>4</v>
      </c>
      <c r="F30" s="10" t="n">
        <f aca="false">COUNTIFS(Exécution!$A$5:$A$239,$A30,Exécution!$I$5:$I$239,"OK")</f>
        <v>0</v>
      </c>
      <c r="G30" s="10" t="n">
        <f aca="false">COUNTIFS(Exécution!$A$5:$A$239,$A30,Exécution!$I$5:$I$239,"KO")</f>
        <v>0</v>
      </c>
      <c r="H30" s="10" t="n">
        <f aca="false">COUNTIFS(Exécution!$A$5:$A$239,$A30,Exécution!$I$5:$I$239,"Bloqué")</f>
        <v>0</v>
      </c>
      <c r="I30" s="10" t="n">
        <f aca="false">COUNTIFS(Exécution!$A$5:$A$239,$A30,Exécution!$I$5:$I$239,"Non testé")</f>
        <v>4</v>
      </c>
      <c r="J30" s="18" t="str">
        <f aca="false">IF(G30&gt;0,"KO",IF(H30&gt;0,"Bloqué",IF(F30=E30,"OK",IF(I30=E30,"Non testé","En cours"))))</f>
        <v>Non testé</v>
      </c>
      <c r="K30" s="10" t="n">
        <f aca="false">COUNTIFS(Anomalies!$D$5:$D$204,A30,Anomalies!$J$5:$J$204,"&lt;&gt;Fermée",Anomalies!$J$5:$J$204,"&lt;&gt;Rejetée",Anomalies!$J$5:$J$204,"&lt;&gt;")</f>
        <v>0</v>
      </c>
    </row>
    <row r="31" customFormat="false" ht="15" hidden="false" customHeight="false" outlineLevel="0" collapsed="false">
      <c r="A31" s="4" t="s">
        <v>431</v>
      </c>
      <c r="B31" s="5" t="s">
        <v>432</v>
      </c>
      <c r="C31" s="5" t="s">
        <v>68</v>
      </c>
      <c r="D31" s="5" t="s">
        <v>157</v>
      </c>
      <c r="E31" s="10" t="n">
        <f aca="false">COUNTIF(Exécution!$A$5:$A$239,A31)</f>
        <v>3</v>
      </c>
      <c r="F31" s="10" t="n">
        <f aca="false">COUNTIFS(Exécution!$A$5:$A$239,$A31,Exécution!$I$5:$I$239,"OK")</f>
        <v>0</v>
      </c>
      <c r="G31" s="10" t="n">
        <f aca="false">COUNTIFS(Exécution!$A$5:$A$239,$A31,Exécution!$I$5:$I$239,"KO")</f>
        <v>0</v>
      </c>
      <c r="H31" s="10" t="n">
        <f aca="false">COUNTIFS(Exécution!$A$5:$A$239,$A31,Exécution!$I$5:$I$239,"Bloqué")</f>
        <v>0</v>
      </c>
      <c r="I31" s="10" t="n">
        <f aca="false">COUNTIFS(Exécution!$A$5:$A$239,$A31,Exécution!$I$5:$I$239,"Non testé")</f>
        <v>3</v>
      </c>
      <c r="J31" s="18" t="str">
        <f aca="false">IF(G31&gt;0,"KO",IF(H31&gt;0,"Bloqué",IF(F31=E31,"OK",IF(I31=E31,"Non testé","En cours"))))</f>
        <v>Non testé</v>
      </c>
      <c r="K31" s="10" t="n">
        <f aca="false">COUNTIFS(Anomalies!$D$5:$D$204,A31,Anomalies!$J$5:$J$204,"&lt;&gt;Fermée",Anomalies!$J$5:$J$204,"&lt;&gt;Rejetée",Anomalies!$J$5:$J$204,"&lt;&gt;")</f>
        <v>0</v>
      </c>
    </row>
    <row r="32" customFormat="false" ht="15" hidden="false" customHeight="false" outlineLevel="0" collapsed="false">
      <c r="A32" s="4" t="s">
        <v>439</v>
      </c>
      <c r="B32" s="5" t="s">
        <v>440</v>
      </c>
      <c r="C32" s="5" t="s">
        <v>68</v>
      </c>
      <c r="D32" s="5" t="s">
        <v>138</v>
      </c>
      <c r="E32" s="10" t="n">
        <f aca="false">COUNTIF(Exécution!$A$5:$A$239,A32)</f>
        <v>5</v>
      </c>
      <c r="F32" s="10" t="n">
        <f aca="false">COUNTIFS(Exécution!$A$5:$A$239,$A32,Exécution!$I$5:$I$239,"OK")</f>
        <v>0</v>
      </c>
      <c r="G32" s="10" t="n">
        <f aca="false">COUNTIFS(Exécution!$A$5:$A$239,$A32,Exécution!$I$5:$I$239,"KO")</f>
        <v>0</v>
      </c>
      <c r="H32" s="10" t="n">
        <f aca="false">COUNTIFS(Exécution!$A$5:$A$239,$A32,Exécution!$I$5:$I$239,"Bloqué")</f>
        <v>0</v>
      </c>
      <c r="I32" s="10" t="n">
        <f aca="false">COUNTIFS(Exécution!$A$5:$A$239,$A32,Exécution!$I$5:$I$239,"Non testé")</f>
        <v>5</v>
      </c>
      <c r="J32" s="18" t="str">
        <f aca="false">IF(G32&gt;0,"KO",IF(H32&gt;0,"Bloqué",IF(F32=E32,"OK",IF(I32=E32,"Non testé","En cours"))))</f>
        <v>Non testé</v>
      </c>
      <c r="K32" s="10" t="n">
        <f aca="false">COUNTIFS(Anomalies!$D$5:$D$204,A32,Anomalies!$J$5:$J$204,"&lt;&gt;Fermée",Anomalies!$J$5:$J$204,"&lt;&gt;Rejetée",Anomalies!$J$5:$J$204,"&lt;&gt;")</f>
        <v>0</v>
      </c>
    </row>
    <row r="33" customFormat="false" ht="15" hidden="false" customHeight="false" outlineLevel="0" collapsed="false">
      <c r="A33" s="4" t="s">
        <v>450</v>
      </c>
      <c r="B33" s="5" t="s">
        <v>451</v>
      </c>
      <c r="C33" s="5" t="s">
        <v>68</v>
      </c>
      <c r="D33" s="5" t="s">
        <v>157</v>
      </c>
      <c r="E33" s="10" t="n">
        <f aca="false">COUNTIF(Exécution!$A$5:$A$239,A33)</f>
        <v>4</v>
      </c>
      <c r="F33" s="10" t="n">
        <f aca="false">COUNTIFS(Exécution!$A$5:$A$239,$A33,Exécution!$I$5:$I$239,"OK")</f>
        <v>0</v>
      </c>
      <c r="G33" s="10" t="n">
        <f aca="false">COUNTIFS(Exécution!$A$5:$A$239,$A33,Exécution!$I$5:$I$239,"KO")</f>
        <v>0</v>
      </c>
      <c r="H33" s="10" t="n">
        <f aca="false">COUNTIFS(Exécution!$A$5:$A$239,$A33,Exécution!$I$5:$I$239,"Bloqué")</f>
        <v>0</v>
      </c>
      <c r="I33" s="10" t="n">
        <f aca="false">COUNTIFS(Exécution!$A$5:$A$239,$A33,Exécution!$I$5:$I$239,"Non testé")</f>
        <v>4</v>
      </c>
      <c r="J33" s="18" t="str">
        <f aca="false">IF(G33&gt;0,"KO",IF(H33&gt;0,"Bloqué",IF(F33=E33,"OK",IF(I33=E33,"Non testé","En cours"))))</f>
        <v>Non testé</v>
      </c>
      <c r="K33" s="10" t="n">
        <f aca="false">COUNTIFS(Anomalies!$D$5:$D$204,A33,Anomalies!$J$5:$J$204,"&lt;&gt;Fermée",Anomalies!$J$5:$J$204,"&lt;&gt;Rejetée",Anomalies!$J$5:$J$204,"&lt;&gt;")</f>
        <v>0</v>
      </c>
    </row>
    <row r="34" customFormat="false" ht="15" hidden="false" customHeight="false" outlineLevel="0" collapsed="false">
      <c r="A34" s="4" t="s">
        <v>460</v>
      </c>
      <c r="B34" s="5" t="s">
        <v>461</v>
      </c>
      <c r="C34" s="5" t="s">
        <v>69</v>
      </c>
      <c r="D34" s="5" t="s">
        <v>157</v>
      </c>
      <c r="E34" s="10" t="n">
        <f aca="false">COUNTIF(Exécution!$A$5:$A$239,A34)</f>
        <v>7</v>
      </c>
      <c r="F34" s="10" t="n">
        <f aca="false">COUNTIFS(Exécution!$A$5:$A$239,$A34,Exécution!$I$5:$I$239,"OK")</f>
        <v>0</v>
      </c>
      <c r="G34" s="10" t="n">
        <f aca="false">COUNTIFS(Exécution!$A$5:$A$239,$A34,Exécution!$I$5:$I$239,"KO")</f>
        <v>0</v>
      </c>
      <c r="H34" s="10" t="n">
        <f aca="false">COUNTIFS(Exécution!$A$5:$A$239,$A34,Exécution!$I$5:$I$239,"Bloqué")</f>
        <v>0</v>
      </c>
      <c r="I34" s="10" t="n">
        <f aca="false">COUNTIFS(Exécution!$A$5:$A$239,$A34,Exécution!$I$5:$I$239,"Non testé")</f>
        <v>7</v>
      </c>
      <c r="J34" s="18" t="str">
        <f aca="false">IF(G34&gt;0,"KO",IF(H34&gt;0,"Bloqué",IF(F34=E34,"OK",IF(I34=E34,"Non testé","En cours"))))</f>
        <v>Non testé</v>
      </c>
      <c r="K34" s="10" t="n">
        <f aca="false">COUNTIFS(Anomalies!$D$5:$D$204,A34,Anomalies!$J$5:$J$204,"&lt;&gt;Fermée",Anomalies!$J$5:$J$204,"&lt;&gt;Rejetée",Anomalies!$J$5:$J$204,"&lt;&gt;")</f>
        <v>0</v>
      </c>
    </row>
    <row r="35" customFormat="false" ht="15" hidden="false" customHeight="false" outlineLevel="0" collapsed="false">
      <c r="A35" s="4" t="s">
        <v>476</v>
      </c>
      <c r="B35" s="5" t="s">
        <v>477</v>
      </c>
      <c r="C35" s="5" t="s">
        <v>70</v>
      </c>
      <c r="D35" s="5" t="s">
        <v>138</v>
      </c>
      <c r="E35" s="10" t="n">
        <f aca="false">COUNTIF(Exécution!$A$5:$A$239,A35)</f>
        <v>7</v>
      </c>
      <c r="F35" s="10" t="n">
        <f aca="false">COUNTIFS(Exécution!$A$5:$A$239,$A35,Exécution!$I$5:$I$239,"OK")</f>
        <v>0</v>
      </c>
      <c r="G35" s="10" t="n">
        <f aca="false">COUNTIFS(Exécution!$A$5:$A$239,$A35,Exécution!$I$5:$I$239,"KO")</f>
        <v>0</v>
      </c>
      <c r="H35" s="10" t="n">
        <f aca="false">COUNTIFS(Exécution!$A$5:$A$239,$A35,Exécution!$I$5:$I$239,"Bloqué")</f>
        <v>0</v>
      </c>
      <c r="I35" s="10" t="n">
        <f aca="false">COUNTIFS(Exécution!$A$5:$A$239,$A35,Exécution!$I$5:$I$239,"Non testé")</f>
        <v>7</v>
      </c>
      <c r="J35" s="18" t="str">
        <f aca="false">IF(G35&gt;0,"KO",IF(H35&gt;0,"Bloqué",IF(F35=E35,"OK",IF(I35=E35,"Non testé","En cours"))))</f>
        <v>Non testé</v>
      </c>
      <c r="K35" s="10" t="n">
        <f aca="false">COUNTIFS(Anomalies!$D$5:$D$204,A35,Anomalies!$J$5:$J$204,"&lt;&gt;Fermée",Anomalies!$J$5:$J$204,"&lt;&gt;Rejetée",Anomalies!$J$5:$J$204,"&lt;&gt;")</f>
        <v>0</v>
      </c>
    </row>
    <row r="36" customFormat="false" ht="15" hidden="false" customHeight="false" outlineLevel="0" collapsed="false">
      <c r="A36" s="4" t="s">
        <v>492</v>
      </c>
      <c r="B36" s="5" t="s">
        <v>493</v>
      </c>
      <c r="C36" s="5" t="s">
        <v>70</v>
      </c>
      <c r="D36" s="5" t="s">
        <v>157</v>
      </c>
      <c r="E36" s="10" t="n">
        <f aca="false">COUNTIF(Exécution!$A$5:$A$239,A36)</f>
        <v>6</v>
      </c>
      <c r="F36" s="10" t="n">
        <f aca="false">COUNTIFS(Exécution!$A$5:$A$239,$A36,Exécution!$I$5:$I$239,"OK")</f>
        <v>0</v>
      </c>
      <c r="G36" s="10" t="n">
        <f aca="false">COUNTIFS(Exécution!$A$5:$A$239,$A36,Exécution!$I$5:$I$239,"KO")</f>
        <v>0</v>
      </c>
      <c r="H36" s="10" t="n">
        <f aca="false">COUNTIFS(Exécution!$A$5:$A$239,$A36,Exécution!$I$5:$I$239,"Bloqué")</f>
        <v>0</v>
      </c>
      <c r="I36" s="10" t="n">
        <f aca="false">COUNTIFS(Exécution!$A$5:$A$239,$A36,Exécution!$I$5:$I$239,"Non testé")</f>
        <v>6</v>
      </c>
      <c r="J36" s="18" t="str">
        <f aca="false">IF(G36&gt;0,"KO",IF(H36&gt;0,"Bloqué",IF(F36=E36,"OK",IF(I36=E36,"Non testé","En cours"))))</f>
        <v>Non testé</v>
      </c>
      <c r="K36" s="10" t="n">
        <f aca="false">COUNTIFS(Anomalies!$D$5:$D$204,A36,Anomalies!$J$5:$J$204,"&lt;&gt;Fermée",Anomalies!$J$5:$J$204,"&lt;&gt;Rejetée",Anomalies!$J$5:$J$204,"&lt;&gt;")</f>
        <v>0</v>
      </c>
    </row>
    <row r="37" customFormat="false" ht="15" hidden="false" customHeight="false" outlineLevel="0" collapsed="false">
      <c r="A37" s="4" t="s">
        <v>506</v>
      </c>
      <c r="B37" s="5" t="s">
        <v>507</v>
      </c>
      <c r="C37" s="5" t="s">
        <v>70</v>
      </c>
      <c r="D37" s="5" t="s">
        <v>227</v>
      </c>
      <c r="E37" s="10" t="n">
        <f aca="false">COUNTIF(Exécution!$A$5:$A$239,A37)</f>
        <v>4</v>
      </c>
      <c r="F37" s="10" t="n">
        <f aca="false">COUNTIFS(Exécution!$A$5:$A$239,$A37,Exécution!$I$5:$I$239,"OK")</f>
        <v>0</v>
      </c>
      <c r="G37" s="10" t="n">
        <f aca="false">COUNTIFS(Exécution!$A$5:$A$239,$A37,Exécution!$I$5:$I$239,"KO")</f>
        <v>0</v>
      </c>
      <c r="H37" s="10" t="n">
        <f aca="false">COUNTIFS(Exécution!$A$5:$A$239,$A37,Exécution!$I$5:$I$239,"Bloqué")</f>
        <v>0</v>
      </c>
      <c r="I37" s="10" t="n">
        <f aca="false">COUNTIFS(Exécution!$A$5:$A$239,$A37,Exécution!$I$5:$I$239,"Non testé")</f>
        <v>4</v>
      </c>
      <c r="J37" s="18" t="str">
        <f aca="false">IF(G37&gt;0,"KO",IF(H37&gt;0,"Bloqué",IF(F37=E37,"OK",IF(I37=E37,"Non testé","En cours"))))</f>
        <v>Non testé</v>
      </c>
      <c r="K37" s="10" t="n">
        <f aca="false">COUNTIFS(Anomalies!$D$5:$D$204,A37,Anomalies!$J$5:$J$204,"&lt;&gt;Fermée",Anomalies!$J$5:$J$204,"&lt;&gt;Rejetée",Anomalies!$J$5:$J$204,"&lt;&gt;")</f>
        <v>0</v>
      </c>
    </row>
    <row r="38" customFormat="false" ht="15" hidden="false" customHeight="false" outlineLevel="0" collapsed="false">
      <c r="A38" s="4" t="s">
        <v>516</v>
      </c>
      <c r="B38" s="5" t="s">
        <v>517</v>
      </c>
      <c r="C38" s="5" t="s">
        <v>71</v>
      </c>
      <c r="D38" s="5" t="s">
        <v>227</v>
      </c>
      <c r="E38" s="10" t="n">
        <f aca="false">COUNTIF(Exécution!$A$5:$A$239,A38)</f>
        <v>3</v>
      </c>
      <c r="F38" s="10" t="n">
        <f aca="false">COUNTIFS(Exécution!$A$5:$A$239,$A38,Exécution!$I$5:$I$239,"OK")</f>
        <v>0</v>
      </c>
      <c r="G38" s="10" t="n">
        <f aca="false">COUNTIFS(Exécution!$A$5:$A$239,$A38,Exécution!$I$5:$I$239,"KO")</f>
        <v>0</v>
      </c>
      <c r="H38" s="10" t="n">
        <f aca="false">COUNTIFS(Exécution!$A$5:$A$239,$A38,Exécution!$I$5:$I$239,"Bloqué")</f>
        <v>0</v>
      </c>
      <c r="I38" s="10" t="n">
        <f aca="false">COUNTIFS(Exécution!$A$5:$A$239,$A38,Exécution!$I$5:$I$239,"Non testé")</f>
        <v>3</v>
      </c>
      <c r="J38" s="18" t="str">
        <f aca="false">IF(G38&gt;0,"KO",IF(H38&gt;0,"Bloqué",IF(F38=E38,"OK",IF(I38=E38,"Non testé","En cours"))))</f>
        <v>Non testé</v>
      </c>
      <c r="K38" s="10" t="n">
        <f aca="false">COUNTIFS(Anomalies!$D$5:$D$204,A38,Anomalies!$J$5:$J$204,"&lt;&gt;Fermée",Anomalies!$J$5:$J$204,"&lt;&gt;Rejetée",Anomalies!$J$5:$J$204,"&lt;&gt;")</f>
        <v>0</v>
      </c>
    </row>
    <row r="39" customFormat="false" ht="15" hidden="false" customHeight="false" outlineLevel="0" collapsed="false">
      <c r="A39" s="4" t="s">
        <v>524</v>
      </c>
      <c r="B39" s="5" t="s">
        <v>525</v>
      </c>
      <c r="C39" s="5" t="s">
        <v>71</v>
      </c>
      <c r="D39" s="5" t="s">
        <v>227</v>
      </c>
      <c r="E39" s="10" t="n">
        <f aca="false">COUNTIF(Exécution!$A$5:$A$239,A39)</f>
        <v>5</v>
      </c>
      <c r="F39" s="10" t="n">
        <f aca="false">COUNTIFS(Exécution!$A$5:$A$239,$A39,Exécution!$I$5:$I$239,"OK")</f>
        <v>0</v>
      </c>
      <c r="G39" s="10" t="n">
        <f aca="false">COUNTIFS(Exécution!$A$5:$A$239,$A39,Exécution!$I$5:$I$239,"KO")</f>
        <v>0</v>
      </c>
      <c r="H39" s="10" t="n">
        <f aca="false">COUNTIFS(Exécution!$A$5:$A$239,$A39,Exécution!$I$5:$I$239,"Bloqué")</f>
        <v>0</v>
      </c>
      <c r="I39" s="10" t="n">
        <f aca="false">COUNTIFS(Exécution!$A$5:$A$239,$A39,Exécution!$I$5:$I$239,"Non testé")</f>
        <v>5</v>
      </c>
      <c r="J39" s="18" t="str">
        <f aca="false">IF(G39&gt;0,"KO",IF(H39&gt;0,"Bloqué",IF(F39=E39,"OK",IF(I39=E39,"Non testé","En cours"))))</f>
        <v>Non testé</v>
      </c>
      <c r="K39" s="10" t="n">
        <f aca="false">COUNTIFS(Anomalies!$D$5:$D$204,A39,Anomalies!$J$5:$J$204,"&lt;&gt;Fermée",Anomalies!$J$5:$J$204,"&lt;&gt;Rejetée",Anomalies!$J$5:$J$204,"&lt;&gt;")</f>
        <v>0</v>
      </c>
    </row>
    <row r="40" customFormat="false" ht="15" hidden="false" customHeight="false" outlineLevel="0" collapsed="false">
      <c r="A40" s="4" t="s">
        <v>536</v>
      </c>
      <c r="B40" s="5" t="s">
        <v>537</v>
      </c>
      <c r="C40" s="5" t="s">
        <v>72</v>
      </c>
      <c r="D40" s="5" t="s">
        <v>157</v>
      </c>
      <c r="E40" s="10" t="n">
        <f aca="false">COUNTIF(Exécution!$A$5:$A$239,A40)</f>
        <v>4</v>
      </c>
      <c r="F40" s="10" t="n">
        <f aca="false">COUNTIFS(Exécution!$A$5:$A$239,$A40,Exécution!$I$5:$I$239,"OK")</f>
        <v>0</v>
      </c>
      <c r="G40" s="10" t="n">
        <f aca="false">COUNTIFS(Exécution!$A$5:$A$239,$A40,Exécution!$I$5:$I$239,"KO")</f>
        <v>0</v>
      </c>
      <c r="H40" s="10" t="n">
        <f aca="false">COUNTIFS(Exécution!$A$5:$A$239,$A40,Exécution!$I$5:$I$239,"Bloqué")</f>
        <v>0</v>
      </c>
      <c r="I40" s="10" t="n">
        <f aca="false">COUNTIFS(Exécution!$A$5:$A$239,$A40,Exécution!$I$5:$I$239,"Non testé")</f>
        <v>4</v>
      </c>
      <c r="J40" s="18" t="str">
        <f aca="false">IF(G40&gt;0,"KO",IF(H40&gt;0,"Bloqué",IF(F40=E40,"OK",IF(I40=E40,"Non testé","En cours"))))</f>
        <v>Non testé</v>
      </c>
      <c r="K40" s="10" t="n">
        <f aca="false">COUNTIFS(Anomalies!$D$5:$D$204,A40,Anomalies!$J$5:$J$204,"&lt;&gt;Fermée",Anomalies!$J$5:$J$204,"&lt;&gt;Rejetée",Anomalies!$J$5:$J$204,"&lt;&gt;")</f>
        <v>0</v>
      </c>
    </row>
    <row r="41" customFormat="false" ht="15" hidden="false" customHeight="false" outlineLevel="0" collapsed="false">
      <c r="A41" s="4" t="s">
        <v>546</v>
      </c>
      <c r="B41" s="5" t="s">
        <v>547</v>
      </c>
      <c r="C41" s="5" t="s">
        <v>72</v>
      </c>
      <c r="D41" s="5" t="s">
        <v>157</v>
      </c>
      <c r="E41" s="10" t="n">
        <f aca="false">COUNTIF(Exécution!$A$5:$A$239,A41)</f>
        <v>6</v>
      </c>
      <c r="F41" s="10" t="n">
        <f aca="false">COUNTIFS(Exécution!$A$5:$A$239,$A41,Exécution!$I$5:$I$239,"OK")</f>
        <v>0</v>
      </c>
      <c r="G41" s="10" t="n">
        <f aca="false">COUNTIFS(Exécution!$A$5:$A$239,$A41,Exécution!$I$5:$I$239,"KO")</f>
        <v>0</v>
      </c>
      <c r="H41" s="10" t="n">
        <f aca="false">COUNTIFS(Exécution!$A$5:$A$239,$A41,Exécution!$I$5:$I$239,"Bloqué")</f>
        <v>0</v>
      </c>
      <c r="I41" s="10" t="n">
        <f aca="false">COUNTIFS(Exécution!$A$5:$A$239,$A41,Exécution!$I$5:$I$239,"Non testé")</f>
        <v>6</v>
      </c>
      <c r="J41" s="18" t="str">
        <f aca="false">IF(G41&gt;0,"KO",IF(H41&gt;0,"Bloqué",IF(F41=E41,"OK",IF(I41=E41,"Non testé","En cours"))))</f>
        <v>Non testé</v>
      </c>
      <c r="K41" s="10" t="n">
        <f aca="false">COUNTIFS(Anomalies!$D$5:$D$204,A41,Anomalies!$J$5:$J$204,"&lt;&gt;Fermée",Anomalies!$J$5:$J$204,"&lt;&gt;Rejetée",Anomalies!$J$5:$J$204,"&lt;&gt;")</f>
        <v>0</v>
      </c>
    </row>
    <row r="42" customFormat="false" ht="15" hidden="false" customHeight="false" outlineLevel="0" collapsed="false">
      <c r="A42" s="4" t="s">
        <v>560</v>
      </c>
      <c r="B42" s="5" t="s">
        <v>561</v>
      </c>
      <c r="C42" s="5" t="s">
        <v>72</v>
      </c>
      <c r="D42" s="5" t="s">
        <v>157</v>
      </c>
      <c r="E42" s="10" t="n">
        <f aca="false">COUNTIF(Exécution!$A$5:$A$239,A42)</f>
        <v>9</v>
      </c>
      <c r="F42" s="10" t="n">
        <f aca="false">COUNTIFS(Exécution!$A$5:$A$239,$A42,Exécution!$I$5:$I$239,"OK")</f>
        <v>0</v>
      </c>
      <c r="G42" s="10" t="n">
        <f aca="false">COUNTIFS(Exécution!$A$5:$A$239,$A42,Exécution!$I$5:$I$239,"KO")</f>
        <v>0</v>
      </c>
      <c r="H42" s="10" t="n">
        <f aca="false">COUNTIFS(Exécution!$A$5:$A$239,$A42,Exécution!$I$5:$I$239,"Bloqué")</f>
        <v>0</v>
      </c>
      <c r="I42" s="10" t="n">
        <f aca="false">COUNTIFS(Exécution!$A$5:$A$239,$A42,Exécution!$I$5:$I$239,"Non testé")</f>
        <v>9</v>
      </c>
      <c r="J42" s="18" t="str">
        <f aca="false">IF(G42&gt;0,"KO",IF(H42&gt;0,"Bloqué",IF(F42=E42,"OK",IF(I42=E42,"Non testé","En cours"))))</f>
        <v>Non testé</v>
      </c>
      <c r="K42" s="10" t="n">
        <f aca="false">COUNTIFS(Anomalies!$D$5:$D$204,A42,Anomalies!$J$5:$J$204,"&lt;&gt;Fermée",Anomalies!$J$5:$J$204,"&lt;&gt;Rejetée",Anomalies!$J$5:$J$204,"&lt;&gt;")</f>
        <v>0</v>
      </c>
    </row>
    <row r="43" customFormat="false" ht="15" hidden="false" customHeight="false" outlineLevel="0" collapsed="false">
      <c r="A43" s="4" t="s">
        <v>580</v>
      </c>
      <c r="B43" s="5" t="s">
        <v>581</v>
      </c>
      <c r="C43" s="5" t="s">
        <v>72</v>
      </c>
      <c r="D43" s="5" t="s">
        <v>227</v>
      </c>
      <c r="E43" s="10" t="n">
        <f aca="false">COUNTIF(Exécution!$A$5:$A$239,A43)</f>
        <v>5</v>
      </c>
      <c r="F43" s="10" t="n">
        <f aca="false">COUNTIFS(Exécution!$A$5:$A$239,$A43,Exécution!$I$5:$I$239,"OK")</f>
        <v>0</v>
      </c>
      <c r="G43" s="10" t="n">
        <f aca="false">COUNTIFS(Exécution!$A$5:$A$239,$A43,Exécution!$I$5:$I$239,"KO")</f>
        <v>0</v>
      </c>
      <c r="H43" s="10" t="n">
        <f aca="false">COUNTIFS(Exécution!$A$5:$A$239,$A43,Exécution!$I$5:$I$239,"Bloqué")</f>
        <v>0</v>
      </c>
      <c r="I43" s="10" t="n">
        <f aca="false">COUNTIFS(Exécution!$A$5:$A$239,$A43,Exécution!$I$5:$I$239,"Non testé")</f>
        <v>5</v>
      </c>
      <c r="J43" s="18" t="str">
        <f aca="false">IF(G43&gt;0,"KO",IF(H43&gt;0,"Bloqué",IF(F43=E43,"OK",IF(I43=E43,"Non testé","En cours"))))</f>
        <v>Non testé</v>
      </c>
      <c r="K43" s="10" t="n">
        <f aca="false">COUNTIFS(Anomalies!$D$5:$D$204,A43,Anomalies!$J$5:$J$204,"&lt;&gt;Fermée",Anomalies!$J$5:$J$204,"&lt;&gt;Rejetée",Anomalies!$J$5:$J$204,"&lt;&gt;")</f>
        <v>0</v>
      </c>
    </row>
    <row r="44" customFormat="false" ht="15" hidden="false" customHeight="false" outlineLevel="0" collapsed="false">
      <c r="A44" s="4" t="s">
        <v>592</v>
      </c>
      <c r="B44" s="5" t="s">
        <v>73</v>
      </c>
      <c r="C44" s="5" t="s">
        <v>73</v>
      </c>
      <c r="D44" s="5" t="s">
        <v>227</v>
      </c>
      <c r="E44" s="10" t="n">
        <f aca="false">COUNTIF(Exécution!$A$5:$A$239,A44)</f>
        <v>6</v>
      </c>
      <c r="F44" s="10" t="n">
        <f aca="false">COUNTIFS(Exécution!$A$5:$A$239,$A44,Exécution!$I$5:$I$239,"OK")</f>
        <v>0</v>
      </c>
      <c r="G44" s="10" t="n">
        <f aca="false">COUNTIFS(Exécution!$A$5:$A$239,$A44,Exécution!$I$5:$I$239,"KO")</f>
        <v>0</v>
      </c>
      <c r="H44" s="10" t="n">
        <f aca="false">COUNTIFS(Exécution!$A$5:$A$239,$A44,Exécution!$I$5:$I$239,"Bloqué")</f>
        <v>0</v>
      </c>
      <c r="I44" s="10" t="n">
        <f aca="false">COUNTIFS(Exécution!$A$5:$A$239,$A44,Exécution!$I$5:$I$239,"Non testé")</f>
        <v>6</v>
      </c>
      <c r="J44" s="18" t="str">
        <f aca="false">IF(G44&gt;0,"KO",IF(H44&gt;0,"Bloqué",IF(F44=E44,"OK",IF(I44=E44,"Non testé","En cours"))))</f>
        <v>Non testé</v>
      </c>
      <c r="K44" s="10" t="n">
        <f aca="false">COUNTIFS(Anomalies!$D$5:$D$204,A44,Anomalies!$J$5:$J$204,"&lt;&gt;Fermée",Anomalies!$J$5:$J$204,"&lt;&gt;Rejetée",Anomalies!$J$5:$J$204,"&lt;&gt;")</f>
        <v>0</v>
      </c>
    </row>
    <row r="45" customFormat="false" ht="15" hidden="false" customHeight="false" outlineLevel="0" collapsed="false">
      <c r="A45" s="4" t="s">
        <v>605</v>
      </c>
      <c r="B45" s="5" t="s">
        <v>606</v>
      </c>
      <c r="C45" s="5" t="s">
        <v>74</v>
      </c>
      <c r="D45" s="5" t="s">
        <v>157</v>
      </c>
      <c r="E45" s="10" t="n">
        <f aca="false">COUNTIF(Exécution!$A$5:$A$239,A45)</f>
        <v>3</v>
      </c>
      <c r="F45" s="10" t="n">
        <f aca="false">COUNTIFS(Exécution!$A$5:$A$239,$A45,Exécution!$I$5:$I$239,"OK")</f>
        <v>0</v>
      </c>
      <c r="G45" s="10" t="n">
        <f aca="false">COUNTIFS(Exécution!$A$5:$A$239,$A45,Exécution!$I$5:$I$239,"KO")</f>
        <v>0</v>
      </c>
      <c r="H45" s="10" t="n">
        <f aca="false">COUNTIFS(Exécution!$A$5:$A$239,$A45,Exécution!$I$5:$I$239,"Bloqué")</f>
        <v>0</v>
      </c>
      <c r="I45" s="10" t="n">
        <f aca="false">COUNTIFS(Exécution!$A$5:$A$239,$A45,Exécution!$I$5:$I$239,"Non testé")</f>
        <v>3</v>
      </c>
      <c r="J45" s="18" t="str">
        <f aca="false">IF(G45&gt;0,"KO",IF(H45&gt;0,"Bloqué",IF(F45=E45,"OK",IF(I45=E45,"Non testé","En cours"))))</f>
        <v>Non testé</v>
      </c>
      <c r="K45" s="10" t="n">
        <f aca="false">COUNTIFS(Anomalies!$D$5:$D$204,A45,Anomalies!$J$5:$J$204,"&lt;&gt;Fermée",Anomalies!$J$5:$J$204,"&lt;&gt;Rejetée",Anomalies!$J$5:$J$204,"&lt;&gt;")</f>
        <v>0</v>
      </c>
    </row>
    <row r="46" customFormat="false" ht="15" hidden="false" customHeight="false" outlineLevel="0" collapsed="false">
      <c r="A46" s="4" t="s">
        <v>613</v>
      </c>
      <c r="B46" s="5" t="s">
        <v>614</v>
      </c>
      <c r="C46" s="5" t="s">
        <v>74</v>
      </c>
      <c r="D46" s="5" t="s">
        <v>227</v>
      </c>
      <c r="E46" s="10" t="n">
        <f aca="false">COUNTIF(Exécution!$A$5:$A$239,A46)</f>
        <v>4</v>
      </c>
      <c r="F46" s="10" t="n">
        <f aca="false">COUNTIFS(Exécution!$A$5:$A$239,$A46,Exécution!$I$5:$I$239,"OK")</f>
        <v>0</v>
      </c>
      <c r="G46" s="10" t="n">
        <f aca="false">COUNTIFS(Exécution!$A$5:$A$239,$A46,Exécution!$I$5:$I$239,"KO")</f>
        <v>0</v>
      </c>
      <c r="H46" s="10" t="n">
        <f aca="false">COUNTIFS(Exécution!$A$5:$A$239,$A46,Exécution!$I$5:$I$239,"Bloqué")</f>
        <v>0</v>
      </c>
      <c r="I46" s="10" t="n">
        <f aca="false">COUNTIFS(Exécution!$A$5:$A$239,$A46,Exécution!$I$5:$I$239,"Non testé")</f>
        <v>4</v>
      </c>
      <c r="J46" s="18" t="str">
        <f aca="false">IF(G46&gt;0,"KO",IF(H46&gt;0,"Bloqué",IF(F46=E46,"OK",IF(I46=E46,"Non testé","En cours"))))</f>
        <v>Non testé</v>
      </c>
      <c r="K46" s="10" t="n">
        <f aca="false">COUNTIFS(Anomalies!$D$5:$D$204,A46,Anomalies!$J$5:$J$204,"&lt;&gt;Fermée",Anomalies!$J$5:$J$204,"&lt;&gt;Rejetée",Anomalies!$J$5:$J$204,"&lt;&gt;")</f>
        <v>0</v>
      </c>
    </row>
    <row r="47" customFormat="false" ht="15" hidden="false" customHeight="false" outlineLevel="0" collapsed="false">
      <c r="A47" s="4" t="s">
        <v>623</v>
      </c>
      <c r="B47" s="5" t="s">
        <v>624</v>
      </c>
      <c r="C47" s="5" t="s">
        <v>74</v>
      </c>
      <c r="D47" s="5" t="s">
        <v>138</v>
      </c>
      <c r="E47" s="10" t="n">
        <f aca="false">COUNTIF(Exécution!$A$5:$A$239,A47)</f>
        <v>5</v>
      </c>
      <c r="F47" s="10" t="n">
        <f aca="false">COUNTIFS(Exécution!$A$5:$A$239,$A47,Exécution!$I$5:$I$239,"OK")</f>
        <v>0</v>
      </c>
      <c r="G47" s="10" t="n">
        <f aca="false">COUNTIFS(Exécution!$A$5:$A$239,$A47,Exécution!$I$5:$I$239,"KO")</f>
        <v>0</v>
      </c>
      <c r="H47" s="10" t="n">
        <f aca="false">COUNTIFS(Exécution!$A$5:$A$239,$A47,Exécution!$I$5:$I$239,"Bloqué")</f>
        <v>0</v>
      </c>
      <c r="I47" s="10" t="n">
        <f aca="false">COUNTIFS(Exécution!$A$5:$A$239,$A47,Exécution!$I$5:$I$239,"Non testé")</f>
        <v>5</v>
      </c>
      <c r="J47" s="18" t="str">
        <f aca="false">IF(G47&gt;0,"KO",IF(H47&gt;0,"Bloqué",IF(F47=E47,"OK",IF(I47=E47,"Non testé","En cours"))))</f>
        <v>Non testé</v>
      </c>
      <c r="K47" s="10" t="n">
        <f aca="false">COUNTIFS(Anomalies!$D$5:$D$204,A47,Anomalies!$J$5:$J$204,"&lt;&gt;Fermée",Anomalies!$J$5:$J$204,"&lt;&gt;Rejetée",Anomalies!$J$5:$J$204,"&lt;&gt;")</f>
        <v>0</v>
      </c>
    </row>
    <row r="48" customFormat="false" ht="15" hidden="false" customHeight="false" outlineLevel="0" collapsed="false">
      <c r="A48" s="4" t="s">
        <v>635</v>
      </c>
      <c r="B48" s="5" t="s">
        <v>636</v>
      </c>
      <c r="C48" s="5" t="s">
        <v>74</v>
      </c>
      <c r="D48" s="5" t="s">
        <v>227</v>
      </c>
      <c r="E48" s="10" t="n">
        <f aca="false">COUNTIF(Exécution!$A$5:$A$239,A48)</f>
        <v>3</v>
      </c>
      <c r="F48" s="10" t="n">
        <f aca="false">COUNTIFS(Exécution!$A$5:$A$239,$A48,Exécution!$I$5:$I$239,"OK")</f>
        <v>0</v>
      </c>
      <c r="G48" s="10" t="n">
        <f aca="false">COUNTIFS(Exécution!$A$5:$A$239,$A48,Exécution!$I$5:$I$239,"KO")</f>
        <v>0</v>
      </c>
      <c r="H48" s="10" t="n">
        <f aca="false">COUNTIFS(Exécution!$A$5:$A$239,$A48,Exécution!$I$5:$I$239,"Bloqué")</f>
        <v>0</v>
      </c>
      <c r="I48" s="10" t="n">
        <f aca="false">COUNTIFS(Exécution!$A$5:$A$239,$A48,Exécution!$I$5:$I$239,"Non testé")</f>
        <v>3</v>
      </c>
      <c r="J48" s="18" t="str">
        <f aca="false">IF(G48&gt;0,"KO",IF(H48&gt;0,"Bloqué",IF(F48=E48,"OK",IF(I48=E48,"Non testé","En cours"))))</f>
        <v>Non testé</v>
      </c>
      <c r="K48" s="10" t="n">
        <f aca="false">COUNTIFS(Anomalies!$D$5:$D$204,A48,Anomalies!$J$5:$J$204,"&lt;&gt;Fermée",Anomalies!$J$5:$J$204,"&lt;&gt;Rejetée",Anomalies!$J$5:$J$204,"&lt;&gt;")</f>
        <v>0</v>
      </c>
    </row>
    <row r="49" customFormat="false" ht="15" hidden="false" customHeight="false" outlineLevel="0" collapsed="false">
      <c r="A49" s="4" t="s">
        <v>642</v>
      </c>
      <c r="B49" s="5" t="s">
        <v>643</v>
      </c>
      <c r="C49" s="5" t="s">
        <v>75</v>
      </c>
      <c r="D49" s="5" t="s">
        <v>157</v>
      </c>
      <c r="E49" s="10" t="n">
        <f aca="false">COUNTIF(Exécution!$A$5:$A$239,A49)</f>
        <v>3</v>
      </c>
      <c r="F49" s="10" t="n">
        <f aca="false">COUNTIFS(Exécution!$A$5:$A$239,$A49,Exécution!$I$5:$I$239,"OK")</f>
        <v>0</v>
      </c>
      <c r="G49" s="10" t="n">
        <f aca="false">COUNTIFS(Exécution!$A$5:$A$239,$A49,Exécution!$I$5:$I$239,"KO")</f>
        <v>0</v>
      </c>
      <c r="H49" s="10" t="n">
        <f aca="false">COUNTIFS(Exécution!$A$5:$A$239,$A49,Exécution!$I$5:$I$239,"Bloqué")</f>
        <v>0</v>
      </c>
      <c r="I49" s="10" t="n">
        <f aca="false">COUNTIFS(Exécution!$A$5:$A$239,$A49,Exécution!$I$5:$I$239,"Non testé")</f>
        <v>3</v>
      </c>
      <c r="J49" s="18" t="str">
        <f aca="false">IF(G49&gt;0,"KO",IF(H49&gt;0,"Bloqué",IF(F49=E49,"OK",IF(I49=E49,"Non testé","En cours"))))</f>
        <v>Non testé</v>
      </c>
      <c r="K49" s="10" t="n">
        <f aca="false">COUNTIFS(Anomalies!$D$5:$D$204,A49,Anomalies!$J$5:$J$204,"&lt;&gt;Fermée",Anomalies!$J$5:$J$204,"&lt;&gt;Rejetée",Anomalies!$J$5:$J$204,"&lt;&gt;")</f>
        <v>0</v>
      </c>
    </row>
    <row r="50" customFormat="false" ht="15" hidden="false" customHeight="false" outlineLevel="0" collapsed="false">
      <c r="A50" s="4" t="s">
        <v>650</v>
      </c>
      <c r="B50" s="5" t="s">
        <v>651</v>
      </c>
      <c r="C50" s="5" t="s">
        <v>76</v>
      </c>
      <c r="D50" s="5" t="s">
        <v>157</v>
      </c>
      <c r="E50" s="10" t="n">
        <f aca="false">COUNTIF(Exécution!$A$5:$A$239,A50)</f>
        <v>4</v>
      </c>
      <c r="F50" s="10" t="n">
        <f aca="false">COUNTIFS(Exécution!$A$5:$A$239,$A50,Exécution!$I$5:$I$239,"OK")</f>
        <v>0</v>
      </c>
      <c r="G50" s="10" t="n">
        <f aca="false">COUNTIFS(Exécution!$A$5:$A$239,$A50,Exécution!$I$5:$I$239,"KO")</f>
        <v>0</v>
      </c>
      <c r="H50" s="10" t="n">
        <f aca="false">COUNTIFS(Exécution!$A$5:$A$239,$A50,Exécution!$I$5:$I$239,"Bloqué")</f>
        <v>0</v>
      </c>
      <c r="I50" s="10" t="n">
        <f aca="false">COUNTIFS(Exécution!$A$5:$A$239,$A50,Exécution!$I$5:$I$239,"Non testé")</f>
        <v>4</v>
      </c>
      <c r="J50" s="18" t="str">
        <f aca="false">IF(G50&gt;0,"KO",IF(H50&gt;0,"Bloqué",IF(F50=E50,"OK",IF(I50=E50,"Non testé","En cours"))))</f>
        <v>Non testé</v>
      </c>
      <c r="K50" s="10" t="n">
        <f aca="false">COUNTIFS(Anomalies!$D$5:$D$204,A50,Anomalies!$J$5:$J$204,"&lt;&gt;Fermée",Anomalies!$J$5:$J$204,"&lt;&gt;Rejetée",Anomalies!$J$5:$J$204,"&lt;&gt;")</f>
        <v>0</v>
      </c>
    </row>
    <row r="51" customFormat="false" ht="15" hidden="false" customHeight="false" outlineLevel="0" collapsed="false">
      <c r="A51" s="4" t="s">
        <v>659</v>
      </c>
      <c r="B51" s="5" t="s">
        <v>660</v>
      </c>
      <c r="C51" s="5" t="s">
        <v>76</v>
      </c>
      <c r="D51" s="5" t="s">
        <v>138</v>
      </c>
      <c r="E51" s="10" t="n">
        <f aca="false">COUNTIF(Exécution!$A$5:$A$239,A51)</f>
        <v>4</v>
      </c>
      <c r="F51" s="10" t="n">
        <f aca="false">COUNTIFS(Exécution!$A$5:$A$239,$A51,Exécution!$I$5:$I$239,"OK")</f>
        <v>0</v>
      </c>
      <c r="G51" s="10" t="n">
        <f aca="false">COUNTIFS(Exécution!$A$5:$A$239,$A51,Exécution!$I$5:$I$239,"KO")</f>
        <v>0</v>
      </c>
      <c r="H51" s="10" t="n">
        <f aca="false">COUNTIFS(Exécution!$A$5:$A$239,$A51,Exécution!$I$5:$I$239,"Bloqué")</f>
        <v>0</v>
      </c>
      <c r="I51" s="10" t="n">
        <f aca="false">COUNTIFS(Exécution!$A$5:$A$239,$A51,Exécution!$I$5:$I$239,"Non testé")</f>
        <v>4</v>
      </c>
      <c r="J51" s="18" t="str">
        <f aca="false">IF(G51&gt;0,"KO",IF(H51&gt;0,"Bloqué",IF(F51=E51,"OK",IF(I51=E51,"Non testé","En cours"))))</f>
        <v>Non testé</v>
      </c>
      <c r="K51" s="10" t="n">
        <f aca="false">COUNTIFS(Anomalies!$D$5:$D$204,A51,Anomalies!$J$5:$J$204,"&lt;&gt;Fermée",Anomalies!$J$5:$J$204,"&lt;&gt;Rejetée",Anomalies!$J$5:$J$204,"&lt;&gt;")</f>
        <v>0</v>
      </c>
    </row>
    <row r="52" customFormat="false" ht="15" hidden="false" customHeight="false" outlineLevel="0" collapsed="false">
      <c r="A52" s="4" t="s">
        <v>669</v>
      </c>
      <c r="B52" s="5" t="s">
        <v>670</v>
      </c>
      <c r="C52" s="5" t="s">
        <v>76</v>
      </c>
      <c r="D52" s="5" t="s">
        <v>157</v>
      </c>
      <c r="E52" s="10" t="n">
        <f aca="false">COUNTIF(Exécution!$A$5:$A$239,A52)</f>
        <v>4</v>
      </c>
      <c r="F52" s="10" t="n">
        <f aca="false">COUNTIFS(Exécution!$A$5:$A$239,$A52,Exécution!$I$5:$I$239,"OK")</f>
        <v>0</v>
      </c>
      <c r="G52" s="10" t="n">
        <f aca="false">COUNTIFS(Exécution!$A$5:$A$239,$A52,Exécution!$I$5:$I$239,"KO")</f>
        <v>0</v>
      </c>
      <c r="H52" s="10" t="n">
        <f aca="false">COUNTIFS(Exécution!$A$5:$A$239,$A52,Exécution!$I$5:$I$239,"Bloqué")</f>
        <v>0</v>
      </c>
      <c r="I52" s="10" t="n">
        <f aca="false">COUNTIFS(Exécution!$A$5:$A$239,$A52,Exécution!$I$5:$I$239,"Non testé")</f>
        <v>4</v>
      </c>
      <c r="J52" s="18" t="str">
        <f aca="false">IF(G52&gt;0,"KO",IF(H52&gt;0,"Bloqué",IF(F52=E52,"OK",IF(I52=E52,"Non testé","En cours"))))</f>
        <v>Non testé</v>
      </c>
      <c r="K52" s="10" t="n">
        <f aca="false">COUNTIFS(Anomalies!$D$5:$D$204,A52,Anomalies!$J$5:$J$204,"&lt;&gt;Fermée",Anomalies!$J$5:$J$204,"&lt;&gt;Rejetée",Anomalies!$J$5:$J$204,"&lt;&gt;")</f>
        <v>0</v>
      </c>
    </row>
    <row r="53" customFormat="false" ht="15" hidden="false" customHeight="false" outlineLevel="0" collapsed="false">
      <c r="A53" s="4" t="s">
        <v>679</v>
      </c>
      <c r="B53" s="5" t="s">
        <v>680</v>
      </c>
      <c r="C53" s="5" t="s">
        <v>76</v>
      </c>
      <c r="D53" s="5" t="s">
        <v>227</v>
      </c>
      <c r="E53" s="10" t="n">
        <f aca="false">COUNTIF(Exécution!$A$5:$A$239,A53)</f>
        <v>4</v>
      </c>
      <c r="F53" s="10" t="n">
        <f aca="false">COUNTIFS(Exécution!$A$5:$A$239,$A53,Exécution!$I$5:$I$239,"OK")</f>
        <v>0</v>
      </c>
      <c r="G53" s="10" t="n">
        <f aca="false">COUNTIFS(Exécution!$A$5:$A$239,$A53,Exécution!$I$5:$I$239,"KO")</f>
        <v>0</v>
      </c>
      <c r="H53" s="10" t="n">
        <f aca="false">COUNTIFS(Exécution!$A$5:$A$239,$A53,Exécution!$I$5:$I$239,"Bloqué")</f>
        <v>0</v>
      </c>
      <c r="I53" s="10" t="n">
        <f aca="false">COUNTIFS(Exécution!$A$5:$A$239,$A53,Exécution!$I$5:$I$239,"Non testé")</f>
        <v>4</v>
      </c>
      <c r="J53" s="18" t="str">
        <f aca="false">IF(G53&gt;0,"KO",IF(H53&gt;0,"Bloqué",IF(F53=E53,"OK",IF(I53=E53,"Non testé","En cours"))))</f>
        <v>Non testé</v>
      </c>
      <c r="K53" s="10" t="n">
        <f aca="false">COUNTIFS(Anomalies!$D$5:$D$204,A53,Anomalies!$J$5:$J$204,"&lt;&gt;Fermée",Anomalies!$J$5:$J$204,"&lt;&gt;Rejetée",Anomalies!$J$5:$J$204,"&lt;&gt;")</f>
        <v>0</v>
      </c>
    </row>
    <row r="54" customFormat="false" ht="15" hidden="false" customHeight="false" outlineLevel="0" collapsed="false">
      <c r="A54" s="4" t="s">
        <v>689</v>
      </c>
      <c r="B54" s="5" t="s">
        <v>690</v>
      </c>
      <c r="C54" s="5" t="s">
        <v>77</v>
      </c>
      <c r="D54" s="5" t="s">
        <v>227</v>
      </c>
      <c r="E54" s="10" t="n">
        <f aca="false">COUNTIF(Exécution!$A$5:$A$239,A54)</f>
        <v>3</v>
      </c>
      <c r="F54" s="10" t="n">
        <f aca="false">COUNTIFS(Exécution!$A$5:$A$239,$A54,Exécution!$I$5:$I$239,"OK")</f>
        <v>0</v>
      </c>
      <c r="G54" s="10" t="n">
        <f aca="false">COUNTIFS(Exécution!$A$5:$A$239,$A54,Exécution!$I$5:$I$239,"KO")</f>
        <v>0</v>
      </c>
      <c r="H54" s="10" t="n">
        <f aca="false">COUNTIFS(Exécution!$A$5:$A$239,$A54,Exécution!$I$5:$I$239,"Bloqué")</f>
        <v>0</v>
      </c>
      <c r="I54" s="10" t="n">
        <f aca="false">COUNTIFS(Exécution!$A$5:$A$239,$A54,Exécution!$I$5:$I$239,"Non testé")</f>
        <v>3</v>
      </c>
      <c r="J54" s="18" t="str">
        <f aca="false">IF(G54&gt;0,"KO",IF(H54&gt;0,"Bloqué",IF(F54=E54,"OK",IF(I54=E54,"Non testé","En cours"))))</f>
        <v>Non testé</v>
      </c>
      <c r="K54" s="10" t="n">
        <f aca="false">COUNTIFS(Anomalies!$D$5:$D$204,A54,Anomalies!$J$5:$J$204,"&lt;&gt;Fermée",Anomalies!$J$5:$J$204,"&lt;&gt;Rejetée",Anomalies!$J$5:$J$204,"&lt;&gt;")</f>
        <v>0</v>
      </c>
    </row>
    <row r="55" customFormat="false" ht="15" hidden="false" customHeight="false" outlineLevel="0" collapsed="false">
      <c r="A55" s="4" t="s">
        <v>698</v>
      </c>
      <c r="B55" s="5" t="s">
        <v>699</v>
      </c>
      <c r="C55" s="5" t="s">
        <v>77</v>
      </c>
      <c r="D55" s="5" t="s">
        <v>227</v>
      </c>
      <c r="E55" s="10" t="n">
        <f aca="false">COUNTIF(Exécution!$A$5:$A$239,A55)</f>
        <v>4</v>
      </c>
      <c r="F55" s="10" t="n">
        <f aca="false">COUNTIFS(Exécution!$A$5:$A$239,$A55,Exécution!$I$5:$I$239,"OK")</f>
        <v>0</v>
      </c>
      <c r="G55" s="10" t="n">
        <f aca="false">COUNTIFS(Exécution!$A$5:$A$239,$A55,Exécution!$I$5:$I$239,"KO")</f>
        <v>0</v>
      </c>
      <c r="H55" s="10" t="n">
        <f aca="false">COUNTIFS(Exécution!$A$5:$A$239,$A55,Exécution!$I$5:$I$239,"Bloqué")</f>
        <v>0</v>
      </c>
      <c r="I55" s="10" t="n">
        <f aca="false">COUNTIFS(Exécution!$A$5:$A$239,$A55,Exécution!$I$5:$I$239,"Non testé")</f>
        <v>4</v>
      </c>
      <c r="J55" s="18" t="str">
        <f aca="false">IF(G55&gt;0,"KO",IF(H55&gt;0,"Bloqué",IF(F55=E55,"OK",IF(I55=E55,"Non testé","En cours"))))</f>
        <v>Non testé</v>
      </c>
      <c r="K55" s="10" t="n">
        <f aca="false">COUNTIFS(Anomalies!$D$5:$D$204,A55,Anomalies!$J$5:$J$204,"&lt;&gt;Fermée",Anomalies!$J$5:$J$204,"&lt;&gt;Rejetée",Anomalies!$J$5:$J$204,"&lt;&gt;")</f>
        <v>0</v>
      </c>
    </row>
  </sheetData>
  <autoFilter ref="A4:K55"/>
  <conditionalFormatting sqref="J5:J55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"KO"</formula>
    </cfRule>
    <cfRule type="cellIs" priority="4" operator="equal" aboveAverage="0" equalAverage="0" bottom="0" percent="0" rank="0" text="" dxfId="7">
      <formula>"Bloqué"</formula>
    </cfRule>
    <cfRule type="cellIs" priority="5" operator="equal" aboveAverage="0" equalAverage="0" bottom="0" percent="0" rank="0" text="" dxfId="8">
      <formula>"En cours"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2026-10-24T10:54:17Z</dcterms:created>
  <dc:creator>openpyxl</dc:creator>
  <dc:description/>
  <dc:language>en-US</dc:language>
  <cp:lastModifiedBy/>
  <dcterms:modified xsi:type="dcterms:W3CDTF">2026-10-24T10:54:17Z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