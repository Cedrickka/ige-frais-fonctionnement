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RECEPTION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CONSOLIDATION" sheetId="4" state="visible" r:id="rId4"/>
    <sheet xmlns:r="http://schemas.openxmlformats.org/officeDocument/2006/relationships" name="TABLEAU_DE_BORD" sheetId="5" state="visible" r:id="rId5"/>
    <sheet xmlns:r="http://schemas.openxmlformats.org/officeDocument/2006/relationships" name="BUDGETS_SERVICES" sheetId="6" state="visible" r:id="rId6"/>
    <sheet xmlns:r="http://schemas.openxmlformats.org/officeDocument/2006/relationships" name="JOURNAL_IMPORTS" sheetId="7" state="visible" r:id="rId7"/>
    <sheet xmlns:r="http://schemas.openxmlformats.org/officeDocument/2006/relationships" name="PARAMETRES" sheetId="8" state="visible" r:id="rId8"/>
    <sheet xmlns:r="http://schemas.openxmlformats.org/officeDocument/2006/relationships" name="UTILISATEURS" sheetId="9" state="visible" r:id="rId9"/>
    <sheet xmlns:r="http://schemas.openxmlformats.org/officeDocument/2006/relationships" name="NOTICE" sheetId="10" state="visible" r:id="rId10"/>
  </sheets>
  <definedNames>
    <definedName name="C_DOSSIER_SERVICES" hidden="0" function="0" vbProcedure="0">PARAMETRES!$C$9</definedName>
    <definedName name="C_DOSSIER_TRANS" hidden="0" function="0" vbProcedure="0">PARAMETRES!$C$6</definedName>
    <definedName name="C_EXERCICE" hidden="0" function="0" vbProcedure="0">PARAMETRES!$C$5</definedName>
    <definedName name="C_INSTITUTION" hidden="0" function="0" vbProcedure="0">PARAMETRES!$C$4</definedName>
    <definedName name="C_MODELE" hidden="0" function="0" vbProcedure="0">PARAMETRES!$C$8</definedName>
    <definedName name="C_PREFIXE" hidden="0" function="0" vbProcedure="0">PARAMETRES!$C$7</definedName>
    <definedName name="C_SERVICES" hidden="0" function="0" vbProcedure="0">PARAMETRES!$E$4:$E$43</definedName>
    <definedName name="C_SERVICE_ADMIN" hidden="0" function="0" vbProcedure="0">PARAMETRES!$C$10</definedName>
    <definedName name="L_ETATS" hidden="0" function="0" vbProcedure="0">PARAMETRES!$K$4:$K$6</definedName>
    <definedName name="L_OUINON" hidden="0" function="0" vbProcedure="0">PARAMETRES!$J$4:$J$5</definedName>
    <definedName name="L_PROFILS" hidden="0" function="0" vbProcedure="0">PARAMETRES!$I$4:$I$6</definedName>
    <definedName name="S_HEURE" hidden="0" function="0" vbProcedure="0">ACCUEIL!$C$7</definedName>
    <definedName name="S_PROFIL" hidden="0" function="0" vbProcedure="0">ACCUEIL!$C$6</definedName>
    <definedName name="S_UTILISATEUR" hidden="0" function="0" vbProcedure="0">ACCUEIL!$C$5</definedName>
    <definedName name="_xlnm._FilterDatabase" localSheetId="1" hidden="1">'RECEPTION'!$A$3:$X$50000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\ hh:mm"/>
    <numFmt numFmtId="165" formatCode="dd/mm/yyyy"/>
    <numFmt numFmtId="166" formatCode="#,##0;\(#,##0\);\-"/>
    <numFmt numFmtId="167" formatCode="0.0%;\-0.0%;\-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DEDED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7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 wrapText="1"/>
    </xf>
    <xf numFmtId="166" fontId="10" fillId="4" borderId="1" applyAlignment="1" pivotButton="0" quotePrefix="0" xfId="0">
      <alignment horizontal="center" vertical="bottom"/>
    </xf>
    <xf numFmtId="167" fontId="10" fillId="4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 vertical="bottom"/>
    </xf>
    <xf numFmtId="3" fontId="10" fillId="4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 wrapText="1"/>
    </xf>
    <xf numFmtId="0" fontId="11" fillId="3" borderId="1" applyAlignment="1" pivotButton="0" quotePrefix="0" xfId="0">
      <alignment horizontal="center" vertical="bottom"/>
    </xf>
    <xf numFmtId="0" fontId="9" fillId="5" borderId="1" applyAlignment="1" applyProtection="1" pivotButton="0" quotePrefix="0" xfId="0">
      <alignment horizontal="general" vertical="bottom"/>
      <protection locked="0" hidden="0"/>
    </xf>
    <xf numFmtId="1" fontId="9" fillId="5" borderId="1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7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 wrapText="1"/>
    </xf>
    <xf numFmtId="166" fontId="10" fillId="4" borderId="1" applyAlignment="1" pivotButton="0" quotePrefix="0" xfId="0">
      <alignment horizontal="center" vertical="bottom"/>
    </xf>
    <xf numFmtId="167" fontId="10" fillId="4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 vertical="bottom"/>
    </xf>
    <xf numFmtId="3" fontId="10" fillId="4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 wrapText="1"/>
    </xf>
    <xf numFmtId="0" fontId="11" fillId="3" borderId="1" applyAlignment="1" pivotButton="0" quotePrefix="0" xfId="0">
      <alignment horizontal="center" vertical="bottom"/>
    </xf>
    <xf numFmtId="0" fontId="9" fillId="5" borderId="1" applyAlignment="1" applyProtection="1" pivotButton="0" quotePrefix="0" xfId="0">
      <alignment horizontal="general" vertical="bottom"/>
      <protection locked="0" hidden="0"/>
    </xf>
    <xf numFmtId="1" fontId="9" fillId="5" borderId="1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F9F9F9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Budget et consommation par service (CDF)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"Budget annuel"</f>
              <strCache>
                <ptCount val="1"/>
                <pt idx="0">
                  <v>Budget annuel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CONSOLIDATION!$A$5:$A$33</f>
              <strCache>
                <ptCount val="29"/>
                <pt idx="0">
                  <v>8000 IG</v>
                </pt>
                <pt idx="1">
                  <v>8000 IGA</v>
                </pt>
                <pt idx="2">
                  <v>8000C OF</v>
                </pt>
                <pt idx="3">
                  <v>8000C DD</v>
                </pt>
                <pt idx="4">
                  <v>8000C CAJ</v>
                </pt>
                <pt idx="5">
                  <v>8000C PP</v>
                </pt>
                <pt idx="6">
                  <v>8001</v>
                </pt>
                <pt idx="7">
                  <v>8002</v>
                </pt>
                <pt idx="8">
                  <v>8003</v>
                </pt>
                <pt idx="9">
                  <v>8004</v>
                </pt>
                <pt idx="10">
                  <v>8005</v>
                </pt>
                <pt idx="11">
                  <v>8006</v>
                </pt>
                <pt idx="12">
                  <v>8007</v>
                </pt>
                <pt idx="13">
                  <v>8008</v>
                </pt>
                <pt idx="14">
                  <v>8009</v>
                </pt>
                <pt idx="15">
                  <v>8010</v>
                </pt>
                <pt idx="16">
                  <v>8011</v>
                </pt>
                <pt idx="17">
                  <v>8012</v>
                </pt>
                <pt idx="18">
                  <v>8013</v>
                </pt>
                <pt idx="19">
                  <v>8014</v>
                </pt>
                <pt idx="20">
                  <v>8015</v>
                </pt>
                <pt idx="21">
                  <v>8016</v>
                </pt>
                <pt idx="22">
                  <v>8017</v>
                </pt>
                <pt idx="23">
                  <v>8018</v>
                </pt>
                <pt idx="24">
                  <v>Bureau controleur budgétaire</v>
                </pt>
                <pt idx="25">
                  <v>Bureau sous Gestionnaire</v>
                </pt>
                <pt idx="26">
                  <v>Entretien et réparation</v>
                </pt>
                <pt idx="27">
                  <v>Pécule de transport</v>
                </pt>
                <pt idx="28">
                  <v>Communication</v>
                </pt>
              </strCache>
            </strRef>
          </cat>
          <val>
            <numRef>
              <f>CONSOLIDATION!$B$5:$B$33</f>
              <numCache>
                <formatCode>#,##0;\(#,##0\);\-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1"/>
          <order val="1"/>
          <tx>
            <strRef>
              <f>"Total consommé"</f>
              <strCache>
                <ptCount val="1"/>
                <pt idx="0">
                  <v>Total consommé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CONSOLIDATION!$A$5:$A$33</f>
              <strCache>
                <ptCount val="29"/>
                <pt idx="0">
                  <v>8000 IG</v>
                </pt>
                <pt idx="1">
                  <v>8000 IGA</v>
                </pt>
                <pt idx="2">
                  <v>8000C OF</v>
                </pt>
                <pt idx="3">
                  <v>8000C DD</v>
                </pt>
                <pt idx="4">
                  <v>8000C CAJ</v>
                </pt>
                <pt idx="5">
                  <v>8000C PP</v>
                </pt>
                <pt idx="6">
                  <v>8001</v>
                </pt>
                <pt idx="7">
                  <v>8002</v>
                </pt>
                <pt idx="8">
                  <v>8003</v>
                </pt>
                <pt idx="9">
                  <v>8004</v>
                </pt>
                <pt idx="10">
                  <v>8005</v>
                </pt>
                <pt idx="11">
                  <v>8006</v>
                </pt>
                <pt idx="12">
                  <v>8007</v>
                </pt>
                <pt idx="13">
                  <v>8008</v>
                </pt>
                <pt idx="14">
                  <v>8009</v>
                </pt>
                <pt idx="15">
                  <v>8010</v>
                </pt>
                <pt idx="16">
                  <v>8011</v>
                </pt>
                <pt idx="17">
                  <v>8012</v>
                </pt>
                <pt idx="18">
                  <v>8013</v>
                </pt>
                <pt idx="19">
                  <v>8014</v>
                </pt>
                <pt idx="20">
                  <v>8015</v>
                </pt>
                <pt idx="21">
                  <v>8016</v>
                </pt>
                <pt idx="22">
                  <v>8017</v>
                </pt>
                <pt idx="23">
                  <v>8018</v>
                </pt>
                <pt idx="24">
                  <v>Bureau controleur budgétaire</v>
                </pt>
                <pt idx="25">
                  <v>Bureau sous Gestionnaire</v>
                </pt>
                <pt idx="26">
                  <v>Entretien et réparation</v>
                </pt>
                <pt idx="27">
                  <v>Pécule de transport</v>
                </pt>
                <pt idx="28">
                  <v>Communication</v>
                </pt>
              </strCache>
            </strRef>
          </cat>
          <val>
            <numRef>
              <f>CONSOLIDATION!$F$5:$F$33</f>
              <numCache>
                <formatCode>#,##0;\(#,##0\);\-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gapWidth val="150"/>
        <overlap val="0"/>
        <axId val="66832377"/>
        <axId val="51581398"/>
      </barChart>
      <catAx>
        <axId val="6683237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581398"/>
        <crosses val="autoZero"/>
        <auto val="1"/>
        <lblAlgn val="ctr"/>
        <lblOffset val="100"/>
        <noMultiLvlLbl val="0"/>
      </catAx>
      <valAx>
        <axId val="515813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CDF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8323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Consommation par catégorie (CDF)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"Total"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CONSOLIDATION!$N$5:$N$12</f>
              <strCache>
                <ptCount val="8"/>
                <pt idx="0">
                  <v>Fournitures et petits matériels</v>
                </pt>
                <pt idx="1">
                  <v>Carburant et lubrifiants</v>
                </pt>
                <pt idx="2">
                  <v>Entretien et réparation</v>
                </pt>
                <pt idx="3">
                  <v>Communication et internet</v>
                </pt>
                <pt idx="4">
                  <v>Transport et déplacements</v>
                </pt>
                <pt idx="5">
                  <v>Restauration et réception</v>
                </pt>
                <pt idx="6">
                  <v>Frais bancaires</v>
                </pt>
                <pt idx="7">
                  <v>Divers</v>
                </pt>
              </strCache>
            </strRef>
          </cat>
          <val>
            <numRef>
              <f>CONSOLIDATION!$Q$5:$Q$12</f>
              <numCache>
                <formatCode>#,##0;\(#,##0\);\-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gapWidth val="150"/>
        <overlap val="0"/>
        <axId val="45364638"/>
        <axId val="49924757"/>
      </barChart>
      <catAx>
        <axId val="4536463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924757"/>
        <crosses val="autoZero"/>
        <auto val="1"/>
        <lblAlgn val="ctr"/>
        <lblOffset val="100"/>
        <noMultiLvlLbl val="0"/>
      </catAx>
      <valAx>
        <axId val="4992475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536463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F4" authorId="0" shapeId="0">
      <text>
        <t>Libellés repris des codes : remplacez-les par l'intitulé complet de chaque service.</t>
      </text>
    </comment>
    <comment ref="C6" authorId="0" shapeId="0">
      <text>
        <t>Même chemin que celui inscrit dans les fichiers de service. Administration et Finance doit avoir le droit de lecture sur ce dossier.</t>
      </text>
    </comment>
    <comment ref="C8" authorId="0" shapeId="0">
      <text>
        <t>Le classeur central doit être stocké dans un emplacement réservé à Administration et Finance (dossier séparé, droits NTFS limités).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4" authorId="0" shapeId="0">
      <text>
        <t>« à définir » : remplacez par le mot de passe initial réel (6 caractères minimum) puis lancez CHIFFRER LES MOTS DE PASSE. Le compte admin.af peut aussi être initialisé en laissant H et B vides : le mot de passe est alors choisi à la première connexion.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8</row>
      <rowOff>160560</rowOff>
    </from>
    <to>
      <col>6</col>
      <colOff>196560</colOff>
      <row>39</row>
      <rowOff>14760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41</row>
      <rowOff>160920</rowOff>
    </from>
    <to>
      <col>6</col>
      <colOff>196560</colOff>
      <row>58</row>
      <rowOff>162000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E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6" min="1" max="1"/>
    <col width="26" customWidth="1" style="36" min="2" max="2"/>
    <col width="38" customWidth="1" style="36" min="3" max="3"/>
    <col width="4" customWidth="1" style="36" min="4" max="4"/>
    <col width="36" customWidth="1" style="36" min="5" max="5"/>
  </cols>
  <sheetData>
    <row r="2" ht="19.7" customHeight="1" s="37">
      <c r="B2" s="38" t="inlineStr">
        <is>
          <t>IGE — GESTION DES FRAIS DE FONCTIONNEMENT</t>
        </is>
      </c>
      <c r="E2" s="39" t="inlineStr">
        <is>
          <t>Commandes</t>
        </is>
      </c>
    </row>
    <row r="3" ht="15" customHeight="1" s="37">
      <c r="B3" s="40" t="inlineStr">
        <is>
          <t>Classeur central — réservé à Administration et Finance</t>
        </is>
      </c>
      <c r="E3" s="40" t="inlineStr">
        <is>
          <t>(boutons créés par la macro d'installation)</t>
        </is>
      </c>
    </row>
    <row r="4" ht="15" customHeight="1" s="37">
      <c r="B4" s="41" t="inlineStr">
        <is>
          <t>Fichier / service</t>
        </is>
      </c>
      <c r="C4" s="42">
        <f>"ADMINISTRATION ET FINANCE — Exercice "&amp;C_EXERCICE</f>
        <v/>
      </c>
    </row>
    <row r="5" ht="15" customHeight="1" s="37">
      <c r="B5" s="41" t="inlineStr">
        <is>
          <t>Utilisateur connecté</t>
        </is>
      </c>
      <c r="C5" s="43" t="n"/>
    </row>
    <row r="6" ht="15" customHeight="1" s="37">
      <c r="B6" s="41" t="inlineStr">
        <is>
          <t>Profil</t>
        </is>
      </c>
      <c r="C6" s="43" t="n"/>
    </row>
    <row r="7" ht="15" customHeight="1" s="37">
      <c r="B7" s="41" t="inlineStr">
        <is>
          <t>Connecté depuis</t>
        </is>
      </c>
      <c r="C7" s="44" t="n"/>
    </row>
    <row r="9" ht="15" customHeight="1" s="37">
      <c r="B9" s="39" t="inlineStr">
        <is>
          <t>Mode d'emploi</t>
        </is>
      </c>
    </row>
    <row r="10" ht="15" customHeight="1" s="37">
      <c r="B10" s="45" t="inlineStr">
        <is>
          <t>1. SE CONNECTER (profil ADMIN uniquement).</t>
        </is>
      </c>
    </row>
    <row r="11" ht="15" customHeight="1" s="37">
      <c r="B11" s="45" t="inlineStr">
        <is>
          <t>2. IMPORTER LES TRANSMISSIONS : lit les fichiers TRANS_*.xlsx du dossier de transmission.</t>
        </is>
      </c>
    </row>
    <row r="12" ht="15" customHeight="1" s="37">
      <c r="B12" s="45" t="inlineStr">
        <is>
          <t xml:space="preserve">   Chaque ID_ECRITURE déjà présent est ignoré (doublon) sauf s'il s'agit d'une mise à jour.</t>
        </is>
      </c>
    </row>
    <row r="13" ht="15" customHeight="1" s="37">
      <c r="B13" s="45" t="inlineStr">
        <is>
          <t>3. CONTRÔLER LES ÉCRITURES : détecte les anomalies et les liste dans VERIFICATION.</t>
        </is>
      </c>
    </row>
    <row r="14" ht="15" customHeight="1" s="37">
      <c r="B14" s="45" t="inlineStr">
        <is>
          <t>4. VALIDER SANS ANOMALIE, ou VALIDER / REJETER LA SÉLECTION sur la feuille RECEPTION.</t>
        </is>
      </c>
    </row>
    <row r="15" ht="15" customHeight="1" s="37">
      <c r="B15" s="45" t="inlineStr">
        <is>
          <t>5. CONSOLIDATION et TABLEAU_DE_BORD ne comptent que les écritures VALIDEE.</t>
        </is>
      </c>
    </row>
    <row r="16" ht="15" customHeight="1" s="37">
      <c r="B16" s="45" t="inlineStr">
        <is>
          <t>6. Comptes : saisir le mot de passe initial (col. H de UTILISATEURS) puis CHIFFRER LES MOTS DE PASSE.</t>
        </is>
      </c>
    </row>
    <row r="17" ht="15" customHeight="1" s="37">
      <c r="B17" s="45" t="inlineStr">
        <is>
          <t>7. GÉNÉRER LES FICHIERS SERVICES : crée/actualise un fichier par service à partir du modèle.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X5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7" customWidth="1" style="36" min="2" max="2"/>
    <col width="11" customWidth="1" style="36" min="3" max="3"/>
    <col width="9" customWidth="1" style="36" min="4" max="4"/>
    <col width="11" customWidth="1" style="36" min="5" max="5"/>
    <col width="16" customWidth="1" style="36" min="6" max="6"/>
    <col width="12" customWidth="1" style="36" min="7" max="7"/>
    <col width="26" customWidth="1" style="36" min="8" max="8"/>
    <col width="34" customWidth="1" style="36" min="9" max="9"/>
    <col width="24" customWidth="1" style="36" min="10" max="10"/>
    <col width="12" customWidth="1" style="36" min="11" max="11"/>
    <col width="14" customWidth="1" style="36" min="12" max="12"/>
    <col width="10" customWidth="1" style="36" min="13" max="13"/>
    <col width="14" customWidth="1" style="36" min="14" max="16"/>
    <col width="16" customWidth="1" style="36" min="17" max="17"/>
    <col width="28" customWidth="1" style="36" min="18" max="18"/>
    <col width="26" customWidth="1" style="36" min="19" max="19"/>
    <col width="30" customWidth="1" style="36" min="20" max="20"/>
    <col width="16" customWidth="1" style="36" min="21" max="21"/>
    <col width="14" customWidth="1" style="36" min="22" max="22"/>
    <col width="16" customWidth="1" style="36" min="23" max="23"/>
    <col width="40" customWidth="1" style="36" min="24" max="24"/>
  </cols>
  <sheetData>
    <row r="1" ht="33.75" customHeight="1" s="37">
      <c r="A1" s="46" t="inlineStr">
        <is>
          <t>RÉCEPTION DES ÉCRITURES TRANSMISES PAR LES SERVICES</t>
        </is>
      </c>
    </row>
    <row r="2" ht="15" customHeight="1" s="37">
      <c r="A2" s="40" t="inlineStr">
        <is>
          <t>Alimentée par IMPORTER LES TRANSMISSIONS. Sélectionnez des lignes puis VALIDER / REJETER LA SÉLECTION.</t>
        </is>
      </c>
    </row>
    <row r="3" ht="30" customHeight="1" s="37">
      <c r="A3" s="47" t="inlineStr">
        <is>
          <t>ID_ECRITURE</t>
        </is>
      </c>
      <c r="B3" s="47" t="inlineStr">
        <is>
          <t>N°</t>
        </is>
      </c>
      <c r="C3" s="47" t="inlineStr">
        <is>
          <t>Date</t>
        </is>
      </c>
      <c r="D3" s="47" t="inlineStr">
        <is>
          <t>Exercice</t>
        </is>
      </c>
      <c r="E3" s="47" t="inlineStr">
        <is>
          <t>Mois</t>
        </is>
      </c>
      <c r="F3" s="47" t="inlineStr">
        <is>
          <t>Service</t>
        </is>
      </c>
      <c r="G3" s="47" t="inlineStr">
        <is>
          <t>Code rubrique</t>
        </is>
      </c>
      <c r="H3" s="47" t="inlineStr">
        <is>
          <t>Catégorie</t>
        </is>
      </c>
      <c r="I3" s="47" t="inlineStr">
        <is>
          <t>Description</t>
        </is>
      </c>
      <c r="J3" s="47" t="inlineStr">
        <is>
          <t>Fournisseur / bénéficiaire</t>
        </is>
      </c>
      <c r="K3" s="47" t="inlineStr">
        <is>
          <t>N° pièce</t>
        </is>
      </c>
      <c r="L3" s="47" t="inlineStr">
        <is>
          <t>Mode de paiement</t>
        </is>
      </c>
      <c r="M3" s="47" t="inlineStr">
        <is>
          <t>Statut</t>
        </is>
      </c>
      <c r="N3" s="47" t="inlineStr">
        <is>
          <t>Entrée</t>
        </is>
      </c>
      <c r="O3" s="47" t="inlineStr">
        <is>
          <t>Sortie</t>
        </is>
      </c>
      <c r="P3" s="47" t="inlineStr">
        <is>
          <t>Utilisateur</t>
        </is>
      </c>
      <c r="Q3" s="47" t="inlineStr">
        <is>
          <t>Date de saisie</t>
        </is>
      </c>
      <c r="R3" s="47" t="inlineStr">
        <is>
          <t>Observations</t>
        </is>
      </c>
      <c r="S3" s="47" t="inlineStr">
        <is>
          <t>ID_TRANSMISSION</t>
        </is>
      </c>
      <c r="T3" s="47" t="inlineStr">
        <is>
          <t>FICHIER_SOURCE</t>
        </is>
      </c>
      <c r="U3" s="47" t="inlineStr">
        <is>
          <t>DATE_IMPORT</t>
        </is>
      </c>
      <c r="V3" s="47" t="inlineStr">
        <is>
          <t>IMPORTE_PAR</t>
        </is>
      </c>
      <c r="W3" s="47" t="inlineStr">
        <is>
          <t>ETAT_VERIFICATION</t>
        </is>
      </c>
      <c r="X3" s="47" t="inlineStr">
        <is>
          <t>ANOMALIES / MOTIF</t>
        </is>
      </c>
    </row>
    <row r="4" ht="15" customHeight="1" s="37">
      <c r="A4" t="inlineStr">
        <is>
          <t>9990TEST-2026-000001</t>
        </is>
      </c>
      <c r="C4" s="48" t="n"/>
      <c r="N4" s="49" t="n"/>
      <c r="O4" s="49" t="n"/>
      <c r="Q4" s="50" t="n"/>
      <c r="U4" s="50" t="n"/>
      <c r="W4" t="inlineStr">
        <is>
          <t>VALIDEE</t>
        </is>
      </c>
      <c r="X4" t="inlineStr"/>
    </row>
    <row r="5" ht="15" customHeight="1" s="37">
      <c r="A5" t="inlineStr">
        <is>
          <t>9990TEST-2026-000002</t>
        </is>
      </c>
      <c r="C5" s="48" t="n"/>
      <c r="N5" s="49" t="n"/>
      <c r="O5" s="49" t="n"/>
      <c r="Q5" s="50" t="n"/>
      <c r="U5" s="50" t="n"/>
      <c r="W5" t="inlineStr">
        <is>
          <t>VALIDEE</t>
        </is>
      </c>
      <c r="X5" t="inlineStr"/>
    </row>
    <row r="6" ht="15" customHeight="1" s="37">
      <c r="A6" t="inlineStr">
        <is>
          <t>9990TEST-2026-000003</t>
        </is>
      </c>
      <c r="C6" s="48" t="n"/>
      <c r="N6" s="49" t="n"/>
      <c r="O6" s="49" t="n"/>
      <c r="Q6" s="50" t="n"/>
      <c r="U6" s="50" t="n"/>
      <c r="W6" t="inlineStr">
        <is>
          <t>REJETEE</t>
        </is>
      </c>
      <c r="X6" t="inlineStr">
        <is>
          <t>Pièce manquante</t>
        </is>
      </c>
    </row>
    <row r="7" ht="15" customHeight="1" s="37">
      <c r="C7" s="48" t="n"/>
      <c r="N7" s="49" t="n"/>
      <c r="O7" s="49" t="n"/>
      <c r="Q7" s="50" t="n"/>
      <c r="U7" s="50" t="n"/>
    </row>
    <row r="8" ht="15" customHeight="1" s="37">
      <c r="C8" s="48" t="n"/>
      <c r="N8" s="49" t="n"/>
      <c r="O8" s="49" t="n"/>
      <c r="Q8" s="50" t="n"/>
      <c r="U8" s="50" t="n"/>
    </row>
    <row r="9" ht="15" customHeight="1" s="37">
      <c r="C9" s="48" t="n"/>
      <c r="N9" s="49" t="n"/>
      <c r="O9" s="49" t="n"/>
      <c r="Q9" s="50" t="n"/>
      <c r="U9" s="50" t="n"/>
    </row>
    <row r="10" ht="15" customHeight="1" s="37">
      <c r="C10" s="48" t="n"/>
      <c r="N10" s="49" t="n"/>
      <c r="O10" s="49" t="n"/>
      <c r="Q10" s="50" t="n"/>
      <c r="U10" s="50" t="n"/>
    </row>
    <row r="11" ht="15" customHeight="1" s="37">
      <c r="C11" s="48" t="n"/>
      <c r="N11" s="49" t="n"/>
      <c r="O11" s="49" t="n"/>
      <c r="Q11" s="50" t="n"/>
      <c r="U11" s="50" t="n"/>
    </row>
    <row r="12" ht="15" customHeight="1" s="37">
      <c r="C12" s="48" t="n"/>
      <c r="N12" s="49" t="n"/>
      <c r="O12" s="49" t="n"/>
      <c r="Q12" s="50" t="n"/>
      <c r="U12" s="50" t="n"/>
    </row>
    <row r="13" ht="15" customHeight="1" s="37">
      <c r="C13" s="48" t="n"/>
      <c r="N13" s="49" t="n"/>
      <c r="O13" s="49" t="n"/>
      <c r="Q13" s="50" t="n"/>
      <c r="U13" s="50" t="n"/>
    </row>
    <row r="14" ht="15" customHeight="1" s="37">
      <c r="C14" s="48" t="n"/>
      <c r="N14" s="49" t="n"/>
      <c r="O14" s="49" t="n"/>
      <c r="Q14" s="50" t="n"/>
      <c r="U14" s="50" t="n"/>
    </row>
    <row r="15" ht="15" customHeight="1" s="37">
      <c r="C15" s="48" t="n"/>
      <c r="N15" s="49" t="n"/>
      <c r="O15" s="49" t="n"/>
      <c r="Q15" s="50" t="n"/>
      <c r="U15" s="50" t="n"/>
    </row>
    <row r="16" ht="15" customHeight="1" s="37">
      <c r="C16" s="48" t="n"/>
      <c r="N16" s="49" t="n"/>
      <c r="O16" s="49" t="n"/>
      <c r="Q16" s="50" t="n"/>
      <c r="U16" s="50" t="n"/>
    </row>
    <row r="17" ht="15" customHeight="1" s="37">
      <c r="C17" s="48" t="n"/>
      <c r="N17" s="49" t="n"/>
      <c r="O17" s="49" t="n"/>
      <c r="Q17" s="50" t="n"/>
      <c r="U17" s="50" t="n"/>
    </row>
    <row r="18" ht="15" customHeight="1" s="37">
      <c r="C18" s="48" t="n"/>
      <c r="N18" s="49" t="n"/>
      <c r="O18" s="49" t="n"/>
      <c r="Q18" s="50" t="n"/>
      <c r="U18" s="50" t="n"/>
    </row>
    <row r="19" ht="15" customHeight="1" s="37">
      <c r="C19" s="48" t="n"/>
      <c r="N19" s="49" t="n"/>
      <c r="O19" s="49" t="n"/>
      <c r="Q19" s="50" t="n"/>
      <c r="U19" s="50" t="n"/>
    </row>
    <row r="20" ht="15" customHeight="1" s="37">
      <c r="C20" s="48" t="n"/>
      <c r="N20" s="49" t="n"/>
      <c r="O20" s="49" t="n"/>
      <c r="Q20" s="50" t="n"/>
      <c r="U20" s="50" t="n"/>
    </row>
    <row r="21" ht="15" customHeight="1" s="37">
      <c r="C21" s="48" t="n"/>
      <c r="N21" s="49" t="n"/>
      <c r="O21" s="49" t="n"/>
      <c r="Q21" s="50" t="n"/>
      <c r="U21" s="50" t="n"/>
    </row>
    <row r="22" ht="15" customHeight="1" s="37">
      <c r="C22" s="48" t="n"/>
      <c r="N22" s="49" t="n"/>
      <c r="O22" s="49" t="n"/>
      <c r="Q22" s="50" t="n"/>
      <c r="U22" s="50" t="n"/>
    </row>
    <row r="23" ht="15" customHeight="1" s="37">
      <c r="C23" s="48" t="n"/>
      <c r="N23" s="49" t="n"/>
      <c r="O23" s="49" t="n"/>
      <c r="Q23" s="50" t="n"/>
      <c r="U23" s="50" t="n"/>
    </row>
    <row r="24" ht="15" customHeight="1" s="37">
      <c r="C24" s="48" t="n"/>
      <c r="N24" s="49" t="n"/>
      <c r="O24" s="49" t="n"/>
      <c r="Q24" s="50" t="n"/>
      <c r="U24" s="50" t="n"/>
    </row>
    <row r="25" ht="15" customHeight="1" s="37">
      <c r="C25" s="48" t="n"/>
      <c r="N25" s="49" t="n"/>
      <c r="O25" s="49" t="n"/>
      <c r="Q25" s="50" t="n"/>
      <c r="U25" s="50" t="n"/>
    </row>
    <row r="26" ht="15" customHeight="1" s="37">
      <c r="C26" s="48" t="n"/>
      <c r="N26" s="49" t="n"/>
      <c r="O26" s="49" t="n"/>
      <c r="Q26" s="50" t="n"/>
      <c r="U26" s="50" t="n"/>
    </row>
    <row r="27" ht="15" customHeight="1" s="37">
      <c r="C27" s="48" t="n"/>
      <c r="N27" s="49" t="n"/>
      <c r="O27" s="49" t="n"/>
      <c r="Q27" s="50" t="n"/>
      <c r="U27" s="50" t="n"/>
    </row>
    <row r="28" ht="15" customHeight="1" s="37">
      <c r="C28" s="48" t="n"/>
      <c r="N28" s="49" t="n"/>
      <c r="O28" s="49" t="n"/>
      <c r="Q28" s="50" t="n"/>
      <c r="U28" s="50" t="n"/>
    </row>
    <row r="29" ht="15" customHeight="1" s="37">
      <c r="C29" s="48" t="n"/>
      <c r="N29" s="49" t="n"/>
      <c r="O29" s="49" t="n"/>
      <c r="Q29" s="50" t="n"/>
      <c r="U29" s="50" t="n"/>
    </row>
    <row r="30" ht="15" customHeight="1" s="37">
      <c r="C30" s="48" t="n"/>
      <c r="N30" s="49" t="n"/>
      <c r="O30" s="49" t="n"/>
      <c r="Q30" s="50" t="n"/>
      <c r="U30" s="50" t="n"/>
    </row>
    <row r="31" ht="15" customHeight="1" s="37">
      <c r="C31" s="48" t="n"/>
      <c r="N31" s="49" t="n"/>
      <c r="O31" s="49" t="n"/>
      <c r="Q31" s="50" t="n"/>
      <c r="U31" s="50" t="n"/>
    </row>
    <row r="32" ht="15" customHeight="1" s="37">
      <c r="C32" s="48" t="n"/>
      <c r="N32" s="49" t="n"/>
      <c r="O32" s="49" t="n"/>
      <c r="Q32" s="50" t="n"/>
      <c r="U32" s="50" t="n"/>
    </row>
    <row r="33" ht="15" customHeight="1" s="37">
      <c r="C33" s="48" t="n"/>
      <c r="N33" s="49" t="n"/>
      <c r="O33" s="49" t="n"/>
      <c r="Q33" s="50" t="n"/>
      <c r="U33" s="50" t="n"/>
    </row>
    <row r="34" ht="15" customHeight="1" s="37">
      <c r="C34" s="48" t="n"/>
      <c r="N34" s="49" t="n"/>
      <c r="O34" s="49" t="n"/>
      <c r="Q34" s="50" t="n"/>
      <c r="U34" s="50" t="n"/>
    </row>
    <row r="35" ht="15" customHeight="1" s="37">
      <c r="C35" s="48" t="n"/>
      <c r="N35" s="49" t="n"/>
      <c r="O35" s="49" t="n"/>
      <c r="Q35" s="50" t="n"/>
      <c r="U35" s="50" t="n"/>
    </row>
    <row r="36" ht="15" customHeight="1" s="37">
      <c r="C36" s="48" t="n"/>
      <c r="N36" s="49" t="n"/>
      <c r="O36" s="49" t="n"/>
      <c r="Q36" s="50" t="n"/>
      <c r="U36" s="50" t="n"/>
    </row>
    <row r="37" ht="15" customHeight="1" s="37">
      <c r="C37" s="48" t="n"/>
      <c r="N37" s="49" t="n"/>
      <c r="O37" s="49" t="n"/>
      <c r="Q37" s="50" t="n"/>
      <c r="U37" s="50" t="n"/>
    </row>
    <row r="38" ht="15" customHeight="1" s="37">
      <c r="C38" s="48" t="n"/>
      <c r="N38" s="49" t="n"/>
      <c r="O38" s="49" t="n"/>
      <c r="Q38" s="50" t="n"/>
      <c r="U38" s="50" t="n"/>
    </row>
    <row r="39" ht="15" customHeight="1" s="37">
      <c r="C39" s="48" t="n"/>
      <c r="N39" s="49" t="n"/>
      <c r="O39" s="49" t="n"/>
      <c r="Q39" s="50" t="n"/>
      <c r="U39" s="50" t="n"/>
    </row>
    <row r="40" ht="15" customHeight="1" s="37">
      <c r="C40" s="48" t="n"/>
      <c r="N40" s="49" t="n"/>
      <c r="O40" s="49" t="n"/>
      <c r="Q40" s="50" t="n"/>
      <c r="U40" s="50" t="n"/>
    </row>
    <row r="41" ht="15" customHeight="1" s="37">
      <c r="C41" s="48" t="n"/>
      <c r="N41" s="49" t="n"/>
      <c r="O41" s="49" t="n"/>
      <c r="Q41" s="50" t="n"/>
      <c r="U41" s="50" t="n"/>
    </row>
    <row r="42" ht="15" customHeight="1" s="37">
      <c r="C42" s="48" t="n"/>
      <c r="N42" s="49" t="n"/>
      <c r="O42" s="49" t="n"/>
      <c r="Q42" s="50" t="n"/>
      <c r="U42" s="50" t="n"/>
    </row>
    <row r="43" ht="15" customHeight="1" s="37">
      <c r="C43" s="48" t="n"/>
      <c r="N43" s="49" t="n"/>
      <c r="O43" s="49" t="n"/>
      <c r="Q43" s="50" t="n"/>
      <c r="U43" s="50" t="n"/>
    </row>
    <row r="44" ht="15" customHeight="1" s="37">
      <c r="C44" s="48" t="n"/>
      <c r="N44" s="49" t="n"/>
      <c r="O44" s="49" t="n"/>
      <c r="Q44" s="50" t="n"/>
      <c r="U44" s="50" t="n"/>
    </row>
    <row r="45" ht="15" customHeight="1" s="37">
      <c r="C45" s="48" t="n"/>
      <c r="N45" s="49" t="n"/>
      <c r="O45" s="49" t="n"/>
      <c r="Q45" s="50" t="n"/>
      <c r="U45" s="50" t="n"/>
    </row>
    <row r="46" ht="15" customHeight="1" s="37">
      <c r="C46" s="48" t="n"/>
      <c r="N46" s="49" t="n"/>
      <c r="O46" s="49" t="n"/>
      <c r="Q46" s="50" t="n"/>
      <c r="U46" s="50" t="n"/>
    </row>
    <row r="47" ht="15" customHeight="1" s="37">
      <c r="C47" s="48" t="n"/>
      <c r="N47" s="49" t="n"/>
      <c r="O47" s="49" t="n"/>
      <c r="Q47" s="50" t="n"/>
      <c r="U47" s="50" t="n"/>
    </row>
    <row r="48" ht="15" customHeight="1" s="37">
      <c r="C48" s="48" t="n"/>
      <c r="N48" s="49" t="n"/>
      <c r="O48" s="49" t="n"/>
      <c r="Q48" s="50" t="n"/>
      <c r="U48" s="50" t="n"/>
    </row>
    <row r="49" ht="15" customHeight="1" s="37">
      <c r="C49" s="48" t="n"/>
      <c r="N49" s="49" t="n"/>
      <c r="O49" s="49" t="n"/>
      <c r="Q49" s="50" t="n"/>
      <c r="U49" s="50" t="n"/>
    </row>
    <row r="50" ht="15" customHeight="1" s="37">
      <c r="C50" s="48" t="n"/>
      <c r="N50" s="49" t="n"/>
      <c r="O50" s="49" t="n"/>
      <c r="Q50" s="50" t="n"/>
      <c r="U50" s="50" t="n"/>
    </row>
    <row r="51" ht="15" customHeight="1" s="37">
      <c r="C51" s="48" t="n"/>
      <c r="N51" s="49" t="n"/>
      <c r="O51" s="49" t="n"/>
      <c r="Q51" s="50" t="n"/>
      <c r="U51" s="50" t="n"/>
    </row>
    <row r="52" ht="15" customHeight="1" s="37">
      <c r="C52" s="48" t="n"/>
      <c r="N52" s="49" t="n"/>
      <c r="O52" s="49" t="n"/>
      <c r="Q52" s="50" t="n"/>
      <c r="U52" s="50" t="n"/>
    </row>
    <row r="53" ht="15" customHeight="1" s="37">
      <c r="C53" s="48" t="n"/>
      <c r="N53" s="49" t="n"/>
      <c r="O53" s="49" t="n"/>
      <c r="Q53" s="50" t="n"/>
      <c r="U53" s="50" t="n"/>
    </row>
    <row r="54" ht="15" customHeight="1" s="37">
      <c r="C54" s="48" t="n"/>
      <c r="N54" s="49" t="n"/>
      <c r="O54" s="49" t="n"/>
      <c r="Q54" s="50" t="n"/>
      <c r="U54" s="50" t="n"/>
    </row>
    <row r="55" ht="15" customHeight="1" s="37">
      <c r="C55" s="48" t="n"/>
      <c r="N55" s="49" t="n"/>
      <c r="O55" s="49" t="n"/>
      <c r="Q55" s="50" t="n"/>
      <c r="U55" s="50" t="n"/>
    </row>
    <row r="56" ht="15" customHeight="1" s="37">
      <c r="C56" s="48" t="n"/>
      <c r="N56" s="49" t="n"/>
      <c r="O56" s="49" t="n"/>
      <c r="Q56" s="50" t="n"/>
      <c r="U56" s="50" t="n"/>
    </row>
    <row r="57" ht="15" customHeight="1" s="37">
      <c r="C57" s="48" t="n"/>
      <c r="N57" s="49" t="n"/>
      <c r="O57" s="49" t="n"/>
      <c r="Q57" s="50" t="n"/>
      <c r="U57" s="50" t="n"/>
    </row>
    <row r="58" ht="15" customHeight="1" s="37">
      <c r="C58" s="48" t="n"/>
      <c r="N58" s="49" t="n"/>
      <c r="O58" s="49" t="n"/>
      <c r="Q58" s="50" t="n"/>
      <c r="U58" s="50" t="n"/>
    </row>
    <row r="59" ht="15" customHeight="1" s="37">
      <c r="C59" s="48" t="n"/>
      <c r="N59" s="49" t="n"/>
      <c r="O59" s="49" t="n"/>
      <c r="Q59" s="50" t="n"/>
      <c r="U59" s="50" t="n"/>
    </row>
    <row r="60" ht="15" customHeight="1" s="37">
      <c r="C60" s="48" t="n"/>
      <c r="N60" s="49" t="n"/>
      <c r="O60" s="49" t="n"/>
      <c r="Q60" s="50" t="n"/>
      <c r="U60" s="50" t="n"/>
    </row>
    <row r="61" ht="15" customHeight="1" s="37">
      <c r="C61" s="48" t="n"/>
      <c r="N61" s="49" t="n"/>
      <c r="O61" s="49" t="n"/>
      <c r="Q61" s="50" t="n"/>
      <c r="U61" s="50" t="n"/>
    </row>
    <row r="62" ht="15" customHeight="1" s="37">
      <c r="C62" s="48" t="n"/>
      <c r="N62" s="49" t="n"/>
      <c r="O62" s="49" t="n"/>
      <c r="Q62" s="50" t="n"/>
      <c r="U62" s="50" t="n"/>
    </row>
    <row r="63" ht="15" customHeight="1" s="37">
      <c r="C63" s="48" t="n"/>
      <c r="N63" s="49" t="n"/>
      <c r="O63" s="49" t="n"/>
      <c r="Q63" s="50" t="n"/>
      <c r="U63" s="50" t="n"/>
    </row>
    <row r="64" ht="15" customHeight="1" s="37">
      <c r="C64" s="48" t="n"/>
      <c r="N64" s="49" t="n"/>
      <c r="O64" s="49" t="n"/>
      <c r="Q64" s="50" t="n"/>
      <c r="U64" s="50" t="n"/>
    </row>
    <row r="65" ht="15" customHeight="1" s="37">
      <c r="C65" s="48" t="n"/>
      <c r="N65" s="49" t="n"/>
      <c r="O65" s="49" t="n"/>
      <c r="Q65" s="50" t="n"/>
      <c r="U65" s="50" t="n"/>
    </row>
    <row r="66" ht="15" customHeight="1" s="37">
      <c r="C66" s="48" t="n"/>
      <c r="N66" s="49" t="n"/>
      <c r="O66" s="49" t="n"/>
      <c r="Q66" s="50" t="n"/>
      <c r="U66" s="50" t="n"/>
    </row>
    <row r="67" ht="15" customHeight="1" s="37">
      <c r="C67" s="48" t="n"/>
      <c r="N67" s="49" t="n"/>
      <c r="O67" s="49" t="n"/>
      <c r="Q67" s="50" t="n"/>
      <c r="U67" s="50" t="n"/>
    </row>
    <row r="68" ht="15" customHeight="1" s="37">
      <c r="C68" s="48" t="n"/>
      <c r="N68" s="49" t="n"/>
      <c r="O68" s="49" t="n"/>
      <c r="Q68" s="50" t="n"/>
      <c r="U68" s="50" t="n"/>
    </row>
    <row r="69" ht="15" customHeight="1" s="37">
      <c r="C69" s="48" t="n"/>
      <c r="N69" s="49" t="n"/>
      <c r="O69" s="49" t="n"/>
      <c r="Q69" s="50" t="n"/>
      <c r="U69" s="50" t="n"/>
    </row>
    <row r="70" ht="15" customHeight="1" s="37">
      <c r="C70" s="48" t="n"/>
      <c r="N70" s="49" t="n"/>
      <c r="O70" s="49" t="n"/>
      <c r="Q70" s="50" t="n"/>
      <c r="U70" s="50" t="n"/>
    </row>
    <row r="71" ht="15" customHeight="1" s="37">
      <c r="C71" s="48" t="n"/>
      <c r="N71" s="49" t="n"/>
      <c r="O71" s="49" t="n"/>
      <c r="Q71" s="50" t="n"/>
      <c r="U71" s="50" t="n"/>
    </row>
    <row r="72" ht="15" customHeight="1" s="37">
      <c r="C72" s="48" t="n"/>
      <c r="N72" s="49" t="n"/>
      <c r="O72" s="49" t="n"/>
      <c r="Q72" s="50" t="n"/>
      <c r="U72" s="50" t="n"/>
    </row>
    <row r="73" ht="15" customHeight="1" s="37">
      <c r="C73" s="48" t="n"/>
      <c r="N73" s="49" t="n"/>
      <c r="O73" s="49" t="n"/>
      <c r="Q73" s="50" t="n"/>
      <c r="U73" s="50" t="n"/>
    </row>
    <row r="74" ht="15" customHeight="1" s="37">
      <c r="C74" s="48" t="n"/>
      <c r="N74" s="49" t="n"/>
      <c r="O74" s="49" t="n"/>
      <c r="Q74" s="50" t="n"/>
      <c r="U74" s="50" t="n"/>
    </row>
    <row r="75" ht="15" customHeight="1" s="37">
      <c r="C75" s="48" t="n"/>
      <c r="N75" s="49" t="n"/>
      <c r="O75" s="49" t="n"/>
      <c r="Q75" s="50" t="n"/>
      <c r="U75" s="50" t="n"/>
    </row>
    <row r="76" ht="15" customHeight="1" s="37">
      <c r="C76" s="48" t="n"/>
      <c r="N76" s="49" t="n"/>
      <c r="O76" s="49" t="n"/>
      <c r="Q76" s="50" t="n"/>
      <c r="U76" s="50" t="n"/>
    </row>
    <row r="77" ht="15" customHeight="1" s="37">
      <c r="C77" s="48" t="n"/>
      <c r="N77" s="49" t="n"/>
      <c r="O77" s="49" t="n"/>
      <c r="Q77" s="50" t="n"/>
      <c r="U77" s="50" t="n"/>
    </row>
    <row r="78" ht="15" customHeight="1" s="37">
      <c r="C78" s="48" t="n"/>
      <c r="N78" s="49" t="n"/>
      <c r="O78" s="49" t="n"/>
      <c r="Q78" s="50" t="n"/>
      <c r="U78" s="50" t="n"/>
    </row>
    <row r="79" ht="15" customHeight="1" s="37">
      <c r="C79" s="48" t="n"/>
      <c r="N79" s="49" t="n"/>
      <c r="O79" s="49" t="n"/>
      <c r="Q79" s="50" t="n"/>
      <c r="U79" s="50" t="n"/>
    </row>
    <row r="80" ht="15" customHeight="1" s="37">
      <c r="C80" s="48" t="n"/>
      <c r="N80" s="49" t="n"/>
      <c r="O80" s="49" t="n"/>
      <c r="Q80" s="50" t="n"/>
      <c r="U80" s="50" t="n"/>
    </row>
    <row r="81" ht="15" customHeight="1" s="37">
      <c r="C81" s="48" t="n"/>
      <c r="N81" s="49" t="n"/>
      <c r="O81" s="49" t="n"/>
      <c r="Q81" s="50" t="n"/>
      <c r="U81" s="50" t="n"/>
    </row>
    <row r="82" ht="15" customHeight="1" s="37">
      <c r="C82" s="48" t="n"/>
      <c r="N82" s="49" t="n"/>
      <c r="O82" s="49" t="n"/>
      <c r="Q82" s="50" t="n"/>
      <c r="U82" s="50" t="n"/>
    </row>
    <row r="83" ht="15" customHeight="1" s="37">
      <c r="C83" s="48" t="n"/>
      <c r="N83" s="49" t="n"/>
      <c r="O83" s="49" t="n"/>
      <c r="Q83" s="50" t="n"/>
      <c r="U83" s="50" t="n"/>
    </row>
    <row r="84" ht="15" customHeight="1" s="37">
      <c r="C84" s="48" t="n"/>
      <c r="N84" s="49" t="n"/>
      <c r="O84" s="49" t="n"/>
      <c r="Q84" s="50" t="n"/>
      <c r="U84" s="50" t="n"/>
    </row>
    <row r="85" ht="15" customHeight="1" s="37">
      <c r="C85" s="48" t="n"/>
      <c r="N85" s="49" t="n"/>
      <c r="O85" s="49" t="n"/>
      <c r="Q85" s="50" t="n"/>
      <c r="U85" s="50" t="n"/>
    </row>
    <row r="86" ht="15" customHeight="1" s="37">
      <c r="C86" s="48" t="n"/>
      <c r="N86" s="49" t="n"/>
      <c r="O86" s="49" t="n"/>
      <c r="Q86" s="50" t="n"/>
      <c r="U86" s="50" t="n"/>
    </row>
    <row r="87" ht="15" customHeight="1" s="37">
      <c r="C87" s="48" t="n"/>
      <c r="N87" s="49" t="n"/>
      <c r="O87" s="49" t="n"/>
      <c r="Q87" s="50" t="n"/>
      <c r="U87" s="50" t="n"/>
    </row>
    <row r="88" ht="15" customHeight="1" s="37">
      <c r="C88" s="48" t="n"/>
      <c r="N88" s="49" t="n"/>
      <c r="O88" s="49" t="n"/>
      <c r="Q88" s="50" t="n"/>
      <c r="U88" s="50" t="n"/>
    </row>
    <row r="89" ht="15" customHeight="1" s="37">
      <c r="C89" s="48" t="n"/>
      <c r="N89" s="49" t="n"/>
      <c r="O89" s="49" t="n"/>
      <c r="Q89" s="50" t="n"/>
      <c r="U89" s="50" t="n"/>
    </row>
    <row r="90" ht="15" customHeight="1" s="37">
      <c r="C90" s="48" t="n"/>
      <c r="N90" s="49" t="n"/>
      <c r="O90" s="49" t="n"/>
      <c r="Q90" s="50" t="n"/>
      <c r="U90" s="50" t="n"/>
    </row>
    <row r="91" ht="15" customHeight="1" s="37">
      <c r="C91" s="48" t="n"/>
      <c r="N91" s="49" t="n"/>
      <c r="O91" s="49" t="n"/>
      <c r="Q91" s="50" t="n"/>
      <c r="U91" s="50" t="n"/>
    </row>
    <row r="92" ht="15" customHeight="1" s="37">
      <c r="C92" s="48" t="n"/>
      <c r="N92" s="49" t="n"/>
      <c r="O92" s="49" t="n"/>
      <c r="Q92" s="50" t="n"/>
      <c r="U92" s="50" t="n"/>
    </row>
    <row r="93" ht="15" customHeight="1" s="37">
      <c r="C93" s="48" t="n"/>
      <c r="N93" s="49" t="n"/>
      <c r="O93" s="49" t="n"/>
      <c r="Q93" s="50" t="n"/>
      <c r="U93" s="50" t="n"/>
    </row>
    <row r="94" ht="15" customHeight="1" s="37">
      <c r="C94" s="48" t="n"/>
      <c r="N94" s="49" t="n"/>
      <c r="O94" s="49" t="n"/>
      <c r="Q94" s="50" t="n"/>
      <c r="U94" s="50" t="n"/>
    </row>
    <row r="95" ht="15" customHeight="1" s="37">
      <c r="C95" s="48" t="n"/>
      <c r="N95" s="49" t="n"/>
      <c r="O95" s="49" t="n"/>
      <c r="Q95" s="50" t="n"/>
      <c r="U95" s="50" t="n"/>
    </row>
    <row r="96" ht="15" customHeight="1" s="37">
      <c r="C96" s="48" t="n"/>
      <c r="N96" s="49" t="n"/>
      <c r="O96" s="49" t="n"/>
      <c r="Q96" s="50" t="n"/>
      <c r="U96" s="50" t="n"/>
    </row>
    <row r="97" ht="15" customHeight="1" s="37">
      <c r="C97" s="48" t="n"/>
      <c r="N97" s="49" t="n"/>
      <c r="O97" s="49" t="n"/>
      <c r="Q97" s="50" t="n"/>
      <c r="U97" s="50" t="n"/>
    </row>
    <row r="98" ht="15" customHeight="1" s="37">
      <c r="C98" s="48" t="n"/>
      <c r="N98" s="49" t="n"/>
      <c r="O98" s="49" t="n"/>
      <c r="Q98" s="50" t="n"/>
      <c r="U98" s="50" t="n"/>
    </row>
    <row r="99" ht="15" customHeight="1" s="37">
      <c r="C99" s="48" t="n"/>
      <c r="N99" s="49" t="n"/>
      <c r="O99" s="49" t="n"/>
      <c r="Q99" s="50" t="n"/>
      <c r="U99" s="50" t="n"/>
    </row>
    <row r="100" ht="15" customHeight="1" s="37">
      <c r="C100" s="48" t="n"/>
      <c r="N100" s="49" t="n"/>
      <c r="O100" s="49" t="n"/>
      <c r="Q100" s="50" t="n"/>
      <c r="U100" s="50" t="n"/>
    </row>
    <row r="101" ht="15" customHeight="1" s="37">
      <c r="C101" s="48" t="n"/>
      <c r="N101" s="49" t="n"/>
      <c r="O101" s="49" t="n"/>
      <c r="Q101" s="50" t="n"/>
      <c r="U101" s="50" t="n"/>
    </row>
    <row r="102" ht="15" customHeight="1" s="37">
      <c r="C102" s="48" t="n"/>
      <c r="N102" s="49" t="n"/>
      <c r="O102" s="49" t="n"/>
      <c r="Q102" s="50" t="n"/>
      <c r="U102" s="50" t="n"/>
    </row>
    <row r="103" ht="15" customHeight="1" s="37">
      <c r="C103" s="48" t="n"/>
      <c r="N103" s="49" t="n"/>
      <c r="O103" s="49" t="n"/>
      <c r="Q103" s="50" t="n"/>
      <c r="U103" s="50" t="n"/>
    </row>
    <row r="104" ht="15" customHeight="1" s="37">
      <c r="C104" s="48" t="n"/>
      <c r="N104" s="49" t="n"/>
      <c r="O104" s="49" t="n"/>
      <c r="Q104" s="50" t="n"/>
      <c r="U104" s="50" t="n"/>
    </row>
    <row r="105" ht="15" customHeight="1" s="37">
      <c r="C105" s="48" t="n"/>
      <c r="N105" s="49" t="n"/>
      <c r="O105" s="49" t="n"/>
      <c r="Q105" s="50" t="n"/>
      <c r="U105" s="50" t="n"/>
    </row>
    <row r="106" ht="15" customHeight="1" s="37">
      <c r="C106" s="48" t="n"/>
      <c r="N106" s="49" t="n"/>
      <c r="O106" s="49" t="n"/>
      <c r="Q106" s="50" t="n"/>
      <c r="U106" s="50" t="n"/>
    </row>
    <row r="107" ht="15" customHeight="1" s="37">
      <c r="C107" s="48" t="n"/>
      <c r="N107" s="49" t="n"/>
      <c r="O107" s="49" t="n"/>
      <c r="Q107" s="50" t="n"/>
      <c r="U107" s="50" t="n"/>
    </row>
    <row r="108" ht="15" customHeight="1" s="37">
      <c r="C108" s="48" t="n"/>
      <c r="N108" s="49" t="n"/>
      <c r="O108" s="49" t="n"/>
      <c r="Q108" s="50" t="n"/>
      <c r="U108" s="50" t="n"/>
    </row>
    <row r="109" ht="15" customHeight="1" s="37">
      <c r="C109" s="48" t="n"/>
      <c r="N109" s="49" t="n"/>
      <c r="O109" s="49" t="n"/>
      <c r="Q109" s="50" t="n"/>
      <c r="U109" s="50" t="n"/>
    </row>
    <row r="110" ht="15" customHeight="1" s="37">
      <c r="C110" s="48" t="n"/>
      <c r="N110" s="49" t="n"/>
      <c r="O110" s="49" t="n"/>
      <c r="Q110" s="50" t="n"/>
      <c r="U110" s="50" t="n"/>
    </row>
    <row r="111" ht="15" customHeight="1" s="37">
      <c r="C111" s="48" t="n"/>
      <c r="N111" s="49" t="n"/>
      <c r="O111" s="49" t="n"/>
      <c r="Q111" s="50" t="n"/>
      <c r="U111" s="50" t="n"/>
    </row>
    <row r="112" ht="15" customHeight="1" s="37">
      <c r="C112" s="48" t="n"/>
      <c r="N112" s="49" t="n"/>
      <c r="O112" s="49" t="n"/>
      <c r="Q112" s="50" t="n"/>
      <c r="U112" s="50" t="n"/>
    </row>
    <row r="113" ht="15" customHeight="1" s="37">
      <c r="C113" s="48" t="n"/>
      <c r="N113" s="49" t="n"/>
      <c r="O113" s="49" t="n"/>
      <c r="Q113" s="50" t="n"/>
      <c r="U113" s="50" t="n"/>
    </row>
    <row r="114" ht="15" customHeight="1" s="37">
      <c r="C114" s="48" t="n"/>
      <c r="N114" s="49" t="n"/>
      <c r="O114" s="49" t="n"/>
      <c r="Q114" s="50" t="n"/>
      <c r="U114" s="50" t="n"/>
    </row>
    <row r="115" ht="15" customHeight="1" s="37">
      <c r="C115" s="48" t="n"/>
      <c r="N115" s="49" t="n"/>
      <c r="O115" s="49" t="n"/>
      <c r="Q115" s="50" t="n"/>
      <c r="U115" s="50" t="n"/>
    </row>
    <row r="116" ht="15" customHeight="1" s="37">
      <c r="C116" s="48" t="n"/>
      <c r="N116" s="49" t="n"/>
      <c r="O116" s="49" t="n"/>
      <c r="Q116" s="50" t="n"/>
      <c r="U116" s="50" t="n"/>
    </row>
    <row r="117" ht="15" customHeight="1" s="37">
      <c r="C117" s="48" t="n"/>
      <c r="N117" s="49" t="n"/>
      <c r="O117" s="49" t="n"/>
      <c r="Q117" s="50" t="n"/>
      <c r="U117" s="50" t="n"/>
    </row>
    <row r="118" ht="15" customHeight="1" s="37">
      <c r="C118" s="48" t="n"/>
      <c r="N118" s="49" t="n"/>
      <c r="O118" s="49" t="n"/>
      <c r="Q118" s="50" t="n"/>
      <c r="U118" s="50" t="n"/>
    </row>
    <row r="119" ht="15" customHeight="1" s="37">
      <c r="C119" s="48" t="n"/>
      <c r="N119" s="49" t="n"/>
      <c r="O119" s="49" t="n"/>
      <c r="Q119" s="50" t="n"/>
      <c r="U119" s="50" t="n"/>
    </row>
    <row r="120" ht="15" customHeight="1" s="37">
      <c r="C120" s="48" t="n"/>
      <c r="N120" s="49" t="n"/>
      <c r="O120" s="49" t="n"/>
      <c r="Q120" s="50" t="n"/>
      <c r="U120" s="50" t="n"/>
    </row>
    <row r="121" ht="15" customHeight="1" s="37">
      <c r="C121" s="48" t="n"/>
      <c r="N121" s="49" t="n"/>
      <c r="O121" s="49" t="n"/>
      <c r="Q121" s="50" t="n"/>
      <c r="U121" s="50" t="n"/>
    </row>
    <row r="122" ht="15" customHeight="1" s="37">
      <c r="C122" s="48" t="n"/>
      <c r="N122" s="49" t="n"/>
      <c r="O122" s="49" t="n"/>
      <c r="Q122" s="50" t="n"/>
      <c r="U122" s="50" t="n"/>
    </row>
    <row r="123" ht="15" customHeight="1" s="37">
      <c r="C123" s="48" t="n"/>
      <c r="N123" s="49" t="n"/>
      <c r="O123" s="49" t="n"/>
      <c r="Q123" s="50" t="n"/>
      <c r="U123" s="50" t="n"/>
    </row>
    <row r="124" ht="15" customHeight="1" s="37">
      <c r="C124" s="48" t="n"/>
      <c r="N124" s="49" t="n"/>
      <c r="O124" s="49" t="n"/>
      <c r="Q124" s="50" t="n"/>
      <c r="U124" s="50" t="n"/>
    </row>
    <row r="125" ht="15" customHeight="1" s="37">
      <c r="C125" s="48" t="n"/>
      <c r="N125" s="49" t="n"/>
      <c r="O125" s="49" t="n"/>
      <c r="Q125" s="50" t="n"/>
      <c r="U125" s="50" t="n"/>
    </row>
    <row r="126" ht="15" customHeight="1" s="37">
      <c r="C126" s="48" t="n"/>
      <c r="N126" s="49" t="n"/>
      <c r="O126" s="49" t="n"/>
      <c r="Q126" s="50" t="n"/>
      <c r="U126" s="50" t="n"/>
    </row>
    <row r="127" ht="15" customHeight="1" s="37">
      <c r="C127" s="48" t="n"/>
      <c r="N127" s="49" t="n"/>
      <c r="O127" s="49" t="n"/>
      <c r="Q127" s="50" t="n"/>
      <c r="U127" s="50" t="n"/>
    </row>
    <row r="128" ht="15" customHeight="1" s="37">
      <c r="C128" s="48" t="n"/>
      <c r="N128" s="49" t="n"/>
      <c r="O128" s="49" t="n"/>
      <c r="Q128" s="50" t="n"/>
      <c r="U128" s="50" t="n"/>
    </row>
    <row r="129" ht="15" customHeight="1" s="37">
      <c r="C129" s="48" t="n"/>
      <c r="N129" s="49" t="n"/>
      <c r="O129" s="49" t="n"/>
      <c r="Q129" s="50" t="n"/>
      <c r="U129" s="50" t="n"/>
    </row>
    <row r="130" ht="15" customHeight="1" s="37">
      <c r="C130" s="48" t="n"/>
      <c r="N130" s="49" t="n"/>
      <c r="O130" s="49" t="n"/>
      <c r="Q130" s="50" t="n"/>
      <c r="U130" s="50" t="n"/>
    </row>
    <row r="131" ht="15" customHeight="1" s="37">
      <c r="C131" s="48" t="n"/>
      <c r="N131" s="49" t="n"/>
      <c r="O131" s="49" t="n"/>
      <c r="Q131" s="50" t="n"/>
      <c r="U131" s="50" t="n"/>
    </row>
    <row r="132" ht="15" customHeight="1" s="37">
      <c r="C132" s="48" t="n"/>
      <c r="N132" s="49" t="n"/>
      <c r="O132" s="49" t="n"/>
      <c r="Q132" s="50" t="n"/>
      <c r="U132" s="50" t="n"/>
    </row>
    <row r="133" ht="15" customHeight="1" s="37">
      <c r="C133" s="48" t="n"/>
      <c r="N133" s="49" t="n"/>
      <c r="O133" s="49" t="n"/>
      <c r="Q133" s="50" t="n"/>
      <c r="U133" s="50" t="n"/>
    </row>
    <row r="134" ht="15" customHeight="1" s="37">
      <c r="C134" s="48" t="n"/>
      <c r="N134" s="49" t="n"/>
      <c r="O134" s="49" t="n"/>
      <c r="Q134" s="50" t="n"/>
      <c r="U134" s="50" t="n"/>
    </row>
    <row r="135" ht="15" customHeight="1" s="37">
      <c r="C135" s="48" t="n"/>
      <c r="N135" s="49" t="n"/>
      <c r="O135" s="49" t="n"/>
      <c r="Q135" s="50" t="n"/>
      <c r="U135" s="50" t="n"/>
    </row>
    <row r="136" ht="15" customHeight="1" s="37">
      <c r="C136" s="48" t="n"/>
      <c r="N136" s="49" t="n"/>
      <c r="O136" s="49" t="n"/>
      <c r="Q136" s="50" t="n"/>
      <c r="U136" s="50" t="n"/>
    </row>
    <row r="137" ht="15" customHeight="1" s="37">
      <c r="C137" s="48" t="n"/>
      <c r="N137" s="49" t="n"/>
      <c r="O137" s="49" t="n"/>
      <c r="Q137" s="50" t="n"/>
      <c r="U137" s="50" t="n"/>
    </row>
    <row r="138" ht="15" customHeight="1" s="37">
      <c r="C138" s="48" t="n"/>
      <c r="N138" s="49" t="n"/>
      <c r="O138" s="49" t="n"/>
      <c r="Q138" s="50" t="n"/>
      <c r="U138" s="50" t="n"/>
    </row>
    <row r="139" ht="15" customHeight="1" s="37">
      <c r="C139" s="48" t="n"/>
      <c r="N139" s="49" t="n"/>
      <c r="O139" s="49" t="n"/>
      <c r="Q139" s="50" t="n"/>
      <c r="U139" s="50" t="n"/>
    </row>
    <row r="140" ht="15" customHeight="1" s="37">
      <c r="C140" s="48" t="n"/>
      <c r="N140" s="49" t="n"/>
      <c r="O140" s="49" t="n"/>
      <c r="Q140" s="50" t="n"/>
      <c r="U140" s="50" t="n"/>
    </row>
    <row r="141" ht="15" customHeight="1" s="37">
      <c r="C141" s="48" t="n"/>
      <c r="N141" s="49" t="n"/>
      <c r="O141" s="49" t="n"/>
      <c r="Q141" s="50" t="n"/>
      <c r="U141" s="50" t="n"/>
    </row>
    <row r="142" ht="15" customHeight="1" s="37">
      <c r="C142" s="48" t="n"/>
      <c r="N142" s="49" t="n"/>
      <c r="O142" s="49" t="n"/>
      <c r="Q142" s="50" t="n"/>
      <c r="U142" s="50" t="n"/>
    </row>
    <row r="143" ht="15" customHeight="1" s="37">
      <c r="C143" s="48" t="n"/>
      <c r="N143" s="49" t="n"/>
      <c r="O143" s="49" t="n"/>
      <c r="Q143" s="50" t="n"/>
      <c r="U143" s="50" t="n"/>
    </row>
    <row r="144" ht="15" customHeight="1" s="37">
      <c r="C144" s="48" t="n"/>
      <c r="N144" s="49" t="n"/>
      <c r="O144" s="49" t="n"/>
      <c r="Q144" s="50" t="n"/>
      <c r="U144" s="50" t="n"/>
    </row>
    <row r="145" ht="15" customHeight="1" s="37">
      <c r="C145" s="48" t="n"/>
      <c r="N145" s="49" t="n"/>
      <c r="O145" s="49" t="n"/>
      <c r="Q145" s="50" t="n"/>
      <c r="U145" s="50" t="n"/>
    </row>
    <row r="146" ht="15" customHeight="1" s="37">
      <c r="C146" s="48" t="n"/>
      <c r="N146" s="49" t="n"/>
      <c r="O146" s="49" t="n"/>
      <c r="Q146" s="50" t="n"/>
      <c r="U146" s="50" t="n"/>
    </row>
    <row r="147" ht="15" customHeight="1" s="37">
      <c r="C147" s="48" t="n"/>
      <c r="N147" s="49" t="n"/>
      <c r="O147" s="49" t="n"/>
      <c r="Q147" s="50" t="n"/>
      <c r="U147" s="50" t="n"/>
    </row>
    <row r="148" ht="15" customHeight="1" s="37">
      <c r="C148" s="48" t="n"/>
      <c r="N148" s="49" t="n"/>
      <c r="O148" s="49" t="n"/>
      <c r="Q148" s="50" t="n"/>
      <c r="U148" s="50" t="n"/>
    </row>
    <row r="149" ht="15" customHeight="1" s="37">
      <c r="C149" s="48" t="n"/>
      <c r="N149" s="49" t="n"/>
      <c r="O149" s="49" t="n"/>
      <c r="Q149" s="50" t="n"/>
      <c r="U149" s="50" t="n"/>
    </row>
    <row r="150" ht="15" customHeight="1" s="37">
      <c r="C150" s="48" t="n"/>
      <c r="N150" s="49" t="n"/>
      <c r="O150" s="49" t="n"/>
      <c r="Q150" s="50" t="n"/>
      <c r="U150" s="50" t="n"/>
    </row>
    <row r="151" ht="15" customHeight="1" s="37">
      <c r="C151" s="48" t="n"/>
      <c r="N151" s="49" t="n"/>
      <c r="O151" s="49" t="n"/>
      <c r="Q151" s="50" t="n"/>
      <c r="U151" s="50" t="n"/>
    </row>
    <row r="152" ht="15" customHeight="1" s="37">
      <c r="C152" s="48" t="n"/>
      <c r="N152" s="49" t="n"/>
      <c r="O152" s="49" t="n"/>
      <c r="Q152" s="50" t="n"/>
      <c r="U152" s="50" t="n"/>
    </row>
    <row r="153" ht="15" customHeight="1" s="37">
      <c r="C153" s="48" t="n"/>
      <c r="N153" s="49" t="n"/>
      <c r="O153" s="49" t="n"/>
      <c r="Q153" s="50" t="n"/>
      <c r="U153" s="50" t="n"/>
    </row>
    <row r="154" ht="15" customHeight="1" s="37">
      <c r="C154" s="48" t="n"/>
      <c r="N154" s="49" t="n"/>
      <c r="O154" s="49" t="n"/>
      <c r="Q154" s="50" t="n"/>
      <c r="U154" s="50" t="n"/>
    </row>
    <row r="155" ht="15" customHeight="1" s="37">
      <c r="C155" s="48" t="n"/>
      <c r="N155" s="49" t="n"/>
      <c r="O155" s="49" t="n"/>
      <c r="Q155" s="50" t="n"/>
      <c r="U155" s="50" t="n"/>
    </row>
    <row r="156" ht="15" customHeight="1" s="37">
      <c r="C156" s="48" t="n"/>
      <c r="N156" s="49" t="n"/>
      <c r="O156" s="49" t="n"/>
      <c r="Q156" s="50" t="n"/>
      <c r="U156" s="50" t="n"/>
    </row>
    <row r="157" ht="15" customHeight="1" s="37">
      <c r="C157" s="48" t="n"/>
      <c r="N157" s="49" t="n"/>
      <c r="O157" s="49" t="n"/>
      <c r="Q157" s="50" t="n"/>
      <c r="U157" s="50" t="n"/>
    </row>
    <row r="158" ht="15" customHeight="1" s="37">
      <c r="C158" s="48" t="n"/>
      <c r="N158" s="49" t="n"/>
      <c r="O158" s="49" t="n"/>
      <c r="Q158" s="50" t="n"/>
      <c r="U158" s="50" t="n"/>
    </row>
    <row r="159" ht="15" customHeight="1" s="37">
      <c r="C159" s="48" t="n"/>
      <c r="N159" s="49" t="n"/>
      <c r="O159" s="49" t="n"/>
      <c r="Q159" s="50" t="n"/>
      <c r="U159" s="50" t="n"/>
    </row>
    <row r="160" ht="15" customHeight="1" s="37">
      <c r="C160" s="48" t="n"/>
      <c r="N160" s="49" t="n"/>
      <c r="O160" s="49" t="n"/>
      <c r="Q160" s="50" t="n"/>
      <c r="U160" s="50" t="n"/>
    </row>
    <row r="161" ht="15" customHeight="1" s="37">
      <c r="C161" s="48" t="n"/>
      <c r="N161" s="49" t="n"/>
      <c r="O161" s="49" t="n"/>
      <c r="Q161" s="50" t="n"/>
      <c r="U161" s="50" t="n"/>
    </row>
    <row r="162" ht="15" customHeight="1" s="37">
      <c r="C162" s="48" t="n"/>
      <c r="N162" s="49" t="n"/>
      <c r="O162" s="49" t="n"/>
      <c r="Q162" s="50" t="n"/>
      <c r="U162" s="50" t="n"/>
    </row>
    <row r="163" ht="15" customHeight="1" s="37">
      <c r="C163" s="48" t="n"/>
      <c r="N163" s="49" t="n"/>
      <c r="O163" s="49" t="n"/>
      <c r="Q163" s="50" t="n"/>
      <c r="U163" s="50" t="n"/>
    </row>
    <row r="164" ht="15" customHeight="1" s="37">
      <c r="C164" s="48" t="n"/>
      <c r="N164" s="49" t="n"/>
      <c r="O164" s="49" t="n"/>
      <c r="Q164" s="50" t="n"/>
      <c r="U164" s="50" t="n"/>
    </row>
    <row r="165" ht="15" customHeight="1" s="37">
      <c r="C165" s="48" t="n"/>
      <c r="N165" s="49" t="n"/>
      <c r="O165" s="49" t="n"/>
      <c r="Q165" s="50" t="n"/>
      <c r="U165" s="50" t="n"/>
    </row>
    <row r="166" ht="15" customHeight="1" s="37">
      <c r="C166" s="48" t="n"/>
      <c r="N166" s="49" t="n"/>
      <c r="O166" s="49" t="n"/>
      <c r="Q166" s="50" t="n"/>
      <c r="U166" s="50" t="n"/>
    </row>
    <row r="167" ht="15" customHeight="1" s="37">
      <c r="C167" s="48" t="n"/>
      <c r="N167" s="49" t="n"/>
      <c r="O167" s="49" t="n"/>
      <c r="Q167" s="50" t="n"/>
      <c r="U167" s="50" t="n"/>
    </row>
    <row r="168" ht="15" customHeight="1" s="37">
      <c r="C168" s="48" t="n"/>
      <c r="N168" s="49" t="n"/>
      <c r="O168" s="49" t="n"/>
      <c r="Q168" s="50" t="n"/>
      <c r="U168" s="50" t="n"/>
    </row>
    <row r="169" ht="15" customHeight="1" s="37">
      <c r="C169" s="48" t="n"/>
      <c r="N169" s="49" t="n"/>
      <c r="O169" s="49" t="n"/>
      <c r="Q169" s="50" t="n"/>
      <c r="U169" s="50" t="n"/>
    </row>
    <row r="170" ht="15" customHeight="1" s="37">
      <c r="C170" s="48" t="n"/>
      <c r="N170" s="49" t="n"/>
      <c r="O170" s="49" t="n"/>
      <c r="Q170" s="50" t="n"/>
      <c r="U170" s="50" t="n"/>
    </row>
    <row r="171" ht="15" customHeight="1" s="37">
      <c r="C171" s="48" t="n"/>
      <c r="N171" s="49" t="n"/>
      <c r="O171" s="49" t="n"/>
      <c r="Q171" s="50" t="n"/>
      <c r="U171" s="50" t="n"/>
    </row>
    <row r="172" ht="15" customHeight="1" s="37">
      <c r="C172" s="48" t="n"/>
      <c r="N172" s="49" t="n"/>
      <c r="O172" s="49" t="n"/>
      <c r="Q172" s="50" t="n"/>
      <c r="U172" s="50" t="n"/>
    </row>
    <row r="173" ht="15" customHeight="1" s="37">
      <c r="C173" s="48" t="n"/>
      <c r="N173" s="49" t="n"/>
      <c r="O173" s="49" t="n"/>
      <c r="Q173" s="50" t="n"/>
      <c r="U173" s="50" t="n"/>
    </row>
    <row r="174" ht="15" customHeight="1" s="37">
      <c r="C174" s="48" t="n"/>
      <c r="N174" s="49" t="n"/>
      <c r="O174" s="49" t="n"/>
      <c r="Q174" s="50" t="n"/>
      <c r="U174" s="50" t="n"/>
    </row>
    <row r="175" ht="15" customHeight="1" s="37">
      <c r="C175" s="48" t="n"/>
      <c r="N175" s="49" t="n"/>
      <c r="O175" s="49" t="n"/>
      <c r="Q175" s="50" t="n"/>
      <c r="U175" s="50" t="n"/>
    </row>
    <row r="176" ht="15" customHeight="1" s="37">
      <c r="C176" s="48" t="n"/>
      <c r="N176" s="49" t="n"/>
      <c r="O176" s="49" t="n"/>
      <c r="Q176" s="50" t="n"/>
      <c r="U176" s="50" t="n"/>
    </row>
    <row r="177" ht="15" customHeight="1" s="37">
      <c r="C177" s="48" t="n"/>
      <c r="N177" s="49" t="n"/>
      <c r="O177" s="49" t="n"/>
      <c r="Q177" s="50" t="n"/>
      <c r="U177" s="50" t="n"/>
    </row>
    <row r="178" ht="15" customHeight="1" s="37">
      <c r="C178" s="48" t="n"/>
      <c r="N178" s="49" t="n"/>
      <c r="O178" s="49" t="n"/>
      <c r="Q178" s="50" t="n"/>
      <c r="U178" s="50" t="n"/>
    </row>
    <row r="179" ht="15" customHeight="1" s="37">
      <c r="C179" s="48" t="n"/>
      <c r="N179" s="49" t="n"/>
      <c r="O179" s="49" t="n"/>
      <c r="Q179" s="50" t="n"/>
      <c r="U179" s="50" t="n"/>
    </row>
    <row r="180" ht="15" customHeight="1" s="37">
      <c r="C180" s="48" t="n"/>
      <c r="N180" s="49" t="n"/>
      <c r="O180" s="49" t="n"/>
      <c r="Q180" s="50" t="n"/>
      <c r="U180" s="50" t="n"/>
    </row>
    <row r="181" ht="15" customHeight="1" s="37">
      <c r="C181" s="48" t="n"/>
      <c r="N181" s="49" t="n"/>
      <c r="O181" s="49" t="n"/>
      <c r="Q181" s="50" t="n"/>
      <c r="U181" s="50" t="n"/>
    </row>
    <row r="182" ht="15" customHeight="1" s="37">
      <c r="C182" s="48" t="n"/>
      <c r="N182" s="49" t="n"/>
      <c r="O182" s="49" t="n"/>
      <c r="Q182" s="50" t="n"/>
      <c r="U182" s="50" t="n"/>
    </row>
    <row r="183" ht="15" customHeight="1" s="37">
      <c r="C183" s="48" t="n"/>
      <c r="N183" s="49" t="n"/>
      <c r="O183" s="49" t="n"/>
      <c r="Q183" s="50" t="n"/>
      <c r="U183" s="50" t="n"/>
    </row>
    <row r="184" ht="15" customHeight="1" s="37">
      <c r="C184" s="48" t="n"/>
      <c r="N184" s="49" t="n"/>
      <c r="O184" s="49" t="n"/>
      <c r="Q184" s="50" t="n"/>
      <c r="U184" s="50" t="n"/>
    </row>
    <row r="185" ht="15" customHeight="1" s="37">
      <c r="C185" s="48" t="n"/>
      <c r="N185" s="49" t="n"/>
      <c r="O185" s="49" t="n"/>
      <c r="Q185" s="50" t="n"/>
      <c r="U185" s="50" t="n"/>
    </row>
    <row r="186" ht="15" customHeight="1" s="37">
      <c r="C186" s="48" t="n"/>
      <c r="N186" s="49" t="n"/>
      <c r="O186" s="49" t="n"/>
      <c r="Q186" s="50" t="n"/>
      <c r="U186" s="50" t="n"/>
    </row>
    <row r="187" ht="15" customHeight="1" s="37">
      <c r="C187" s="48" t="n"/>
      <c r="N187" s="49" t="n"/>
      <c r="O187" s="49" t="n"/>
      <c r="Q187" s="50" t="n"/>
      <c r="U187" s="50" t="n"/>
    </row>
    <row r="188" ht="15" customHeight="1" s="37">
      <c r="C188" s="48" t="n"/>
      <c r="N188" s="49" t="n"/>
      <c r="O188" s="49" t="n"/>
      <c r="Q188" s="50" t="n"/>
      <c r="U188" s="50" t="n"/>
    </row>
    <row r="189" ht="15" customHeight="1" s="37">
      <c r="C189" s="48" t="n"/>
      <c r="N189" s="49" t="n"/>
      <c r="O189" s="49" t="n"/>
      <c r="Q189" s="50" t="n"/>
      <c r="U189" s="50" t="n"/>
    </row>
    <row r="190" ht="15" customHeight="1" s="37">
      <c r="C190" s="48" t="n"/>
      <c r="N190" s="49" t="n"/>
      <c r="O190" s="49" t="n"/>
      <c r="Q190" s="50" t="n"/>
      <c r="U190" s="50" t="n"/>
    </row>
    <row r="191" ht="15" customHeight="1" s="37">
      <c r="C191" s="48" t="n"/>
      <c r="N191" s="49" t="n"/>
      <c r="O191" s="49" t="n"/>
      <c r="Q191" s="50" t="n"/>
      <c r="U191" s="50" t="n"/>
    </row>
    <row r="192" ht="15" customHeight="1" s="37">
      <c r="C192" s="48" t="n"/>
      <c r="N192" s="49" t="n"/>
      <c r="O192" s="49" t="n"/>
      <c r="Q192" s="50" t="n"/>
      <c r="U192" s="50" t="n"/>
    </row>
    <row r="193" ht="15" customHeight="1" s="37">
      <c r="C193" s="48" t="n"/>
      <c r="N193" s="49" t="n"/>
      <c r="O193" s="49" t="n"/>
      <c r="Q193" s="50" t="n"/>
      <c r="U193" s="50" t="n"/>
    </row>
    <row r="194" ht="15" customHeight="1" s="37">
      <c r="C194" s="48" t="n"/>
      <c r="N194" s="49" t="n"/>
      <c r="O194" s="49" t="n"/>
      <c r="Q194" s="50" t="n"/>
      <c r="U194" s="50" t="n"/>
    </row>
    <row r="195" ht="15" customHeight="1" s="37">
      <c r="C195" s="48" t="n"/>
      <c r="N195" s="49" t="n"/>
      <c r="O195" s="49" t="n"/>
      <c r="Q195" s="50" t="n"/>
      <c r="U195" s="50" t="n"/>
    </row>
    <row r="196" ht="15" customHeight="1" s="37">
      <c r="C196" s="48" t="n"/>
      <c r="N196" s="49" t="n"/>
      <c r="O196" s="49" t="n"/>
      <c r="Q196" s="50" t="n"/>
      <c r="U196" s="50" t="n"/>
    </row>
    <row r="197" ht="15" customHeight="1" s="37">
      <c r="C197" s="48" t="n"/>
      <c r="N197" s="49" t="n"/>
      <c r="O197" s="49" t="n"/>
      <c r="Q197" s="50" t="n"/>
      <c r="U197" s="50" t="n"/>
    </row>
    <row r="198" ht="15" customHeight="1" s="37">
      <c r="C198" s="48" t="n"/>
      <c r="N198" s="49" t="n"/>
      <c r="O198" s="49" t="n"/>
      <c r="Q198" s="50" t="n"/>
      <c r="U198" s="50" t="n"/>
    </row>
    <row r="199" ht="15" customHeight="1" s="37">
      <c r="C199" s="48" t="n"/>
      <c r="N199" s="49" t="n"/>
      <c r="O199" s="49" t="n"/>
      <c r="Q199" s="50" t="n"/>
      <c r="U199" s="50" t="n"/>
    </row>
    <row r="200" ht="15" customHeight="1" s="37">
      <c r="C200" s="48" t="n"/>
      <c r="N200" s="49" t="n"/>
      <c r="O200" s="49" t="n"/>
      <c r="Q200" s="50" t="n"/>
      <c r="U200" s="50" t="n"/>
    </row>
    <row r="201" ht="15" customHeight="1" s="37">
      <c r="C201" s="48" t="n"/>
      <c r="N201" s="49" t="n"/>
      <c r="O201" s="49" t="n"/>
      <c r="Q201" s="50" t="n"/>
      <c r="U201" s="50" t="n"/>
    </row>
    <row r="202" ht="15" customHeight="1" s="37">
      <c r="C202" s="48" t="n"/>
      <c r="N202" s="49" t="n"/>
      <c r="O202" s="49" t="n"/>
      <c r="Q202" s="50" t="n"/>
      <c r="U202" s="50" t="n"/>
    </row>
    <row r="203" ht="15" customHeight="1" s="37">
      <c r="C203" s="48" t="n"/>
      <c r="N203" s="49" t="n"/>
      <c r="O203" s="49" t="n"/>
      <c r="Q203" s="50" t="n"/>
      <c r="U203" s="50" t="n"/>
    </row>
    <row r="204" ht="15" customHeight="1" s="37">
      <c r="C204" s="48" t="n"/>
      <c r="N204" s="49" t="n"/>
      <c r="O204" s="49" t="n"/>
      <c r="Q204" s="50" t="n"/>
      <c r="U204" s="50" t="n"/>
    </row>
    <row r="205" ht="15" customHeight="1" s="37">
      <c r="C205" s="48" t="n"/>
      <c r="N205" s="49" t="n"/>
      <c r="O205" s="49" t="n"/>
      <c r="Q205" s="50" t="n"/>
      <c r="U205" s="50" t="n"/>
    </row>
    <row r="206" ht="15" customHeight="1" s="37">
      <c r="C206" s="48" t="n"/>
      <c r="N206" s="49" t="n"/>
      <c r="O206" s="49" t="n"/>
      <c r="Q206" s="50" t="n"/>
      <c r="U206" s="50" t="n"/>
    </row>
    <row r="207" ht="15" customHeight="1" s="37">
      <c r="C207" s="48" t="n"/>
      <c r="N207" s="49" t="n"/>
      <c r="O207" s="49" t="n"/>
      <c r="Q207" s="50" t="n"/>
      <c r="U207" s="50" t="n"/>
    </row>
    <row r="208" ht="15" customHeight="1" s="37">
      <c r="C208" s="48" t="n"/>
      <c r="N208" s="49" t="n"/>
      <c r="O208" s="49" t="n"/>
      <c r="Q208" s="50" t="n"/>
      <c r="U208" s="50" t="n"/>
    </row>
    <row r="209" ht="15" customHeight="1" s="37">
      <c r="C209" s="48" t="n"/>
      <c r="N209" s="49" t="n"/>
      <c r="O209" s="49" t="n"/>
      <c r="Q209" s="50" t="n"/>
      <c r="U209" s="50" t="n"/>
    </row>
    <row r="210" ht="15" customHeight="1" s="37">
      <c r="C210" s="48" t="n"/>
      <c r="N210" s="49" t="n"/>
      <c r="O210" s="49" t="n"/>
      <c r="Q210" s="50" t="n"/>
      <c r="U210" s="50" t="n"/>
    </row>
    <row r="211" ht="15" customHeight="1" s="37">
      <c r="C211" s="48" t="n"/>
      <c r="N211" s="49" t="n"/>
      <c r="O211" s="49" t="n"/>
      <c r="Q211" s="50" t="n"/>
      <c r="U211" s="50" t="n"/>
    </row>
    <row r="212" ht="15" customHeight="1" s="37">
      <c r="C212" s="48" t="n"/>
      <c r="N212" s="49" t="n"/>
      <c r="O212" s="49" t="n"/>
      <c r="Q212" s="50" t="n"/>
      <c r="U212" s="50" t="n"/>
    </row>
    <row r="213" ht="15" customHeight="1" s="37">
      <c r="C213" s="48" t="n"/>
      <c r="N213" s="49" t="n"/>
      <c r="O213" s="49" t="n"/>
      <c r="Q213" s="50" t="n"/>
      <c r="U213" s="50" t="n"/>
    </row>
    <row r="214" ht="15" customHeight="1" s="37">
      <c r="C214" s="48" t="n"/>
      <c r="N214" s="49" t="n"/>
      <c r="O214" s="49" t="n"/>
      <c r="Q214" s="50" t="n"/>
      <c r="U214" s="50" t="n"/>
    </row>
    <row r="215" ht="15" customHeight="1" s="37">
      <c r="C215" s="48" t="n"/>
      <c r="N215" s="49" t="n"/>
      <c r="O215" s="49" t="n"/>
      <c r="Q215" s="50" t="n"/>
      <c r="U215" s="50" t="n"/>
    </row>
    <row r="216" ht="15" customHeight="1" s="37">
      <c r="C216" s="48" t="n"/>
      <c r="N216" s="49" t="n"/>
      <c r="O216" s="49" t="n"/>
      <c r="Q216" s="50" t="n"/>
      <c r="U216" s="50" t="n"/>
    </row>
    <row r="217" ht="15" customHeight="1" s="37">
      <c r="C217" s="48" t="n"/>
      <c r="N217" s="49" t="n"/>
      <c r="O217" s="49" t="n"/>
      <c r="Q217" s="50" t="n"/>
      <c r="U217" s="50" t="n"/>
    </row>
    <row r="218" ht="15" customHeight="1" s="37">
      <c r="C218" s="48" t="n"/>
      <c r="N218" s="49" t="n"/>
      <c r="O218" s="49" t="n"/>
      <c r="Q218" s="50" t="n"/>
      <c r="U218" s="50" t="n"/>
    </row>
    <row r="219" ht="15" customHeight="1" s="37">
      <c r="C219" s="48" t="n"/>
      <c r="N219" s="49" t="n"/>
      <c r="O219" s="49" t="n"/>
      <c r="Q219" s="50" t="n"/>
      <c r="U219" s="50" t="n"/>
    </row>
    <row r="220" ht="15" customHeight="1" s="37">
      <c r="C220" s="48" t="n"/>
      <c r="N220" s="49" t="n"/>
      <c r="O220" s="49" t="n"/>
      <c r="Q220" s="50" t="n"/>
      <c r="U220" s="50" t="n"/>
    </row>
    <row r="221" ht="15" customHeight="1" s="37">
      <c r="C221" s="48" t="n"/>
      <c r="N221" s="49" t="n"/>
      <c r="O221" s="49" t="n"/>
      <c r="Q221" s="50" t="n"/>
      <c r="U221" s="50" t="n"/>
    </row>
    <row r="222" ht="15" customHeight="1" s="37">
      <c r="C222" s="48" t="n"/>
      <c r="N222" s="49" t="n"/>
      <c r="O222" s="49" t="n"/>
      <c r="Q222" s="50" t="n"/>
      <c r="U222" s="50" t="n"/>
    </row>
    <row r="223" ht="15" customHeight="1" s="37">
      <c r="C223" s="48" t="n"/>
      <c r="N223" s="49" t="n"/>
      <c r="O223" s="49" t="n"/>
      <c r="Q223" s="50" t="n"/>
      <c r="U223" s="50" t="n"/>
    </row>
    <row r="224" ht="15" customHeight="1" s="37">
      <c r="C224" s="48" t="n"/>
      <c r="N224" s="49" t="n"/>
      <c r="O224" s="49" t="n"/>
      <c r="Q224" s="50" t="n"/>
      <c r="U224" s="50" t="n"/>
    </row>
    <row r="225" ht="15" customHeight="1" s="37">
      <c r="C225" s="48" t="n"/>
      <c r="N225" s="49" t="n"/>
      <c r="O225" s="49" t="n"/>
      <c r="Q225" s="50" t="n"/>
      <c r="U225" s="50" t="n"/>
    </row>
    <row r="226" ht="15" customHeight="1" s="37">
      <c r="C226" s="48" t="n"/>
      <c r="N226" s="49" t="n"/>
      <c r="O226" s="49" t="n"/>
      <c r="Q226" s="50" t="n"/>
      <c r="U226" s="50" t="n"/>
    </row>
    <row r="227" ht="15" customHeight="1" s="37">
      <c r="C227" s="48" t="n"/>
      <c r="N227" s="49" t="n"/>
      <c r="O227" s="49" t="n"/>
      <c r="Q227" s="50" t="n"/>
      <c r="U227" s="50" t="n"/>
    </row>
    <row r="228" ht="15" customHeight="1" s="37">
      <c r="C228" s="48" t="n"/>
      <c r="N228" s="49" t="n"/>
      <c r="O228" s="49" t="n"/>
      <c r="Q228" s="50" t="n"/>
      <c r="U228" s="50" t="n"/>
    </row>
    <row r="229" ht="15" customHeight="1" s="37">
      <c r="C229" s="48" t="n"/>
      <c r="N229" s="49" t="n"/>
      <c r="O229" s="49" t="n"/>
      <c r="Q229" s="50" t="n"/>
      <c r="U229" s="50" t="n"/>
    </row>
    <row r="230" ht="15" customHeight="1" s="37">
      <c r="C230" s="48" t="n"/>
      <c r="N230" s="49" t="n"/>
      <c r="O230" s="49" t="n"/>
      <c r="Q230" s="50" t="n"/>
      <c r="U230" s="50" t="n"/>
    </row>
    <row r="231" ht="15" customHeight="1" s="37">
      <c r="C231" s="48" t="n"/>
      <c r="N231" s="49" t="n"/>
      <c r="O231" s="49" t="n"/>
      <c r="Q231" s="50" t="n"/>
      <c r="U231" s="50" t="n"/>
    </row>
    <row r="232" ht="15" customHeight="1" s="37">
      <c r="C232" s="48" t="n"/>
      <c r="N232" s="49" t="n"/>
      <c r="O232" s="49" t="n"/>
      <c r="Q232" s="50" t="n"/>
      <c r="U232" s="50" t="n"/>
    </row>
    <row r="233" ht="15" customHeight="1" s="37">
      <c r="C233" s="48" t="n"/>
      <c r="N233" s="49" t="n"/>
      <c r="O233" s="49" t="n"/>
      <c r="Q233" s="50" t="n"/>
      <c r="U233" s="50" t="n"/>
    </row>
    <row r="234" ht="15" customHeight="1" s="37">
      <c r="C234" s="48" t="n"/>
      <c r="N234" s="49" t="n"/>
      <c r="O234" s="49" t="n"/>
      <c r="Q234" s="50" t="n"/>
      <c r="U234" s="50" t="n"/>
    </row>
    <row r="235" ht="15" customHeight="1" s="37">
      <c r="C235" s="48" t="n"/>
      <c r="N235" s="49" t="n"/>
      <c r="O235" s="49" t="n"/>
      <c r="Q235" s="50" t="n"/>
      <c r="U235" s="50" t="n"/>
    </row>
    <row r="236" ht="15" customHeight="1" s="37">
      <c r="C236" s="48" t="n"/>
      <c r="N236" s="49" t="n"/>
      <c r="O236" s="49" t="n"/>
      <c r="Q236" s="50" t="n"/>
      <c r="U236" s="50" t="n"/>
    </row>
    <row r="237" ht="15" customHeight="1" s="37">
      <c r="C237" s="48" t="n"/>
      <c r="N237" s="49" t="n"/>
      <c r="O237" s="49" t="n"/>
      <c r="Q237" s="50" t="n"/>
      <c r="U237" s="50" t="n"/>
    </row>
    <row r="238" ht="15" customHeight="1" s="37">
      <c r="C238" s="48" t="n"/>
      <c r="N238" s="49" t="n"/>
      <c r="O238" s="49" t="n"/>
      <c r="Q238" s="50" t="n"/>
      <c r="U238" s="50" t="n"/>
    </row>
    <row r="239" ht="15" customHeight="1" s="37">
      <c r="C239" s="48" t="n"/>
      <c r="N239" s="49" t="n"/>
      <c r="O239" s="49" t="n"/>
      <c r="Q239" s="50" t="n"/>
      <c r="U239" s="50" t="n"/>
    </row>
    <row r="240" ht="15" customHeight="1" s="37">
      <c r="C240" s="48" t="n"/>
      <c r="N240" s="49" t="n"/>
      <c r="O240" s="49" t="n"/>
      <c r="Q240" s="50" t="n"/>
      <c r="U240" s="50" t="n"/>
    </row>
    <row r="241" ht="15" customHeight="1" s="37">
      <c r="C241" s="48" t="n"/>
      <c r="N241" s="49" t="n"/>
      <c r="O241" s="49" t="n"/>
      <c r="Q241" s="50" t="n"/>
      <c r="U241" s="50" t="n"/>
    </row>
    <row r="242" ht="15" customHeight="1" s="37">
      <c r="C242" s="48" t="n"/>
      <c r="N242" s="49" t="n"/>
      <c r="O242" s="49" t="n"/>
      <c r="Q242" s="50" t="n"/>
      <c r="U242" s="50" t="n"/>
    </row>
    <row r="243" ht="15" customHeight="1" s="37">
      <c r="C243" s="48" t="n"/>
      <c r="N243" s="49" t="n"/>
      <c r="O243" s="49" t="n"/>
      <c r="Q243" s="50" t="n"/>
      <c r="U243" s="50" t="n"/>
    </row>
    <row r="244" ht="15" customHeight="1" s="37">
      <c r="C244" s="48" t="n"/>
      <c r="N244" s="49" t="n"/>
      <c r="O244" s="49" t="n"/>
      <c r="Q244" s="50" t="n"/>
      <c r="U244" s="50" t="n"/>
    </row>
    <row r="245" ht="15" customHeight="1" s="37">
      <c r="C245" s="48" t="n"/>
      <c r="N245" s="49" t="n"/>
      <c r="O245" s="49" t="n"/>
      <c r="Q245" s="50" t="n"/>
      <c r="U245" s="50" t="n"/>
    </row>
    <row r="246" ht="15" customHeight="1" s="37">
      <c r="C246" s="48" t="n"/>
      <c r="N246" s="49" t="n"/>
      <c r="O246" s="49" t="n"/>
      <c r="Q246" s="50" t="n"/>
      <c r="U246" s="50" t="n"/>
    </row>
    <row r="247" ht="15" customHeight="1" s="37">
      <c r="C247" s="48" t="n"/>
      <c r="N247" s="49" t="n"/>
      <c r="O247" s="49" t="n"/>
      <c r="Q247" s="50" t="n"/>
      <c r="U247" s="50" t="n"/>
    </row>
    <row r="248" ht="15" customHeight="1" s="37">
      <c r="C248" s="48" t="n"/>
      <c r="N248" s="49" t="n"/>
      <c r="O248" s="49" t="n"/>
      <c r="Q248" s="50" t="n"/>
      <c r="U248" s="50" t="n"/>
    </row>
    <row r="249" ht="15" customHeight="1" s="37">
      <c r="C249" s="48" t="n"/>
      <c r="N249" s="49" t="n"/>
      <c r="O249" s="49" t="n"/>
      <c r="Q249" s="50" t="n"/>
      <c r="U249" s="50" t="n"/>
    </row>
    <row r="250" ht="15" customHeight="1" s="37">
      <c r="C250" s="48" t="n"/>
      <c r="N250" s="49" t="n"/>
      <c r="O250" s="49" t="n"/>
      <c r="Q250" s="50" t="n"/>
      <c r="U250" s="50" t="n"/>
    </row>
    <row r="251" ht="15" customHeight="1" s="37">
      <c r="C251" s="48" t="n"/>
      <c r="N251" s="49" t="n"/>
      <c r="O251" s="49" t="n"/>
      <c r="Q251" s="50" t="n"/>
      <c r="U251" s="50" t="n"/>
    </row>
    <row r="252" ht="15" customHeight="1" s="37">
      <c r="C252" s="48" t="n"/>
      <c r="N252" s="49" t="n"/>
      <c r="O252" s="49" t="n"/>
      <c r="Q252" s="50" t="n"/>
      <c r="U252" s="50" t="n"/>
    </row>
    <row r="253" ht="15" customHeight="1" s="37">
      <c r="C253" s="48" t="n"/>
      <c r="N253" s="49" t="n"/>
      <c r="O253" s="49" t="n"/>
      <c r="Q253" s="50" t="n"/>
      <c r="U253" s="50" t="n"/>
    </row>
    <row r="254" ht="15" customHeight="1" s="37">
      <c r="C254" s="48" t="n"/>
      <c r="N254" s="49" t="n"/>
      <c r="O254" s="49" t="n"/>
      <c r="Q254" s="50" t="n"/>
      <c r="U254" s="50" t="n"/>
    </row>
    <row r="255" ht="15" customHeight="1" s="37">
      <c r="C255" s="48" t="n"/>
      <c r="N255" s="49" t="n"/>
      <c r="O255" s="49" t="n"/>
      <c r="Q255" s="50" t="n"/>
      <c r="U255" s="50" t="n"/>
    </row>
    <row r="256" ht="15" customHeight="1" s="37">
      <c r="C256" s="48" t="n"/>
      <c r="N256" s="49" t="n"/>
      <c r="O256" s="49" t="n"/>
      <c r="Q256" s="50" t="n"/>
      <c r="U256" s="50" t="n"/>
    </row>
    <row r="257" ht="15" customHeight="1" s="37">
      <c r="C257" s="48" t="n"/>
      <c r="N257" s="49" t="n"/>
      <c r="O257" s="49" t="n"/>
      <c r="Q257" s="50" t="n"/>
      <c r="U257" s="50" t="n"/>
    </row>
    <row r="258" ht="15" customHeight="1" s="37">
      <c r="C258" s="48" t="n"/>
      <c r="N258" s="49" t="n"/>
      <c r="O258" s="49" t="n"/>
      <c r="Q258" s="50" t="n"/>
      <c r="U258" s="50" t="n"/>
    </row>
    <row r="259" ht="15" customHeight="1" s="37">
      <c r="C259" s="48" t="n"/>
      <c r="N259" s="49" t="n"/>
      <c r="O259" s="49" t="n"/>
      <c r="Q259" s="50" t="n"/>
      <c r="U259" s="50" t="n"/>
    </row>
    <row r="260" ht="15" customHeight="1" s="37">
      <c r="C260" s="48" t="n"/>
      <c r="N260" s="49" t="n"/>
      <c r="O260" s="49" t="n"/>
      <c r="Q260" s="50" t="n"/>
      <c r="U260" s="50" t="n"/>
    </row>
    <row r="261" ht="15" customHeight="1" s="37">
      <c r="C261" s="48" t="n"/>
      <c r="N261" s="49" t="n"/>
      <c r="O261" s="49" t="n"/>
      <c r="Q261" s="50" t="n"/>
      <c r="U261" s="50" t="n"/>
    </row>
    <row r="262" ht="15" customHeight="1" s="37">
      <c r="C262" s="48" t="n"/>
      <c r="N262" s="49" t="n"/>
      <c r="O262" s="49" t="n"/>
      <c r="Q262" s="50" t="n"/>
      <c r="U262" s="50" t="n"/>
    </row>
    <row r="263" ht="15" customHeight="1" s="37">
      <c r="C263" s="48" t="n"/>
      <c r="N263" s="49" t="n"/>
      <c r="O263" s="49" t="n"/>
      <c r="Q263" s="50" t="n"/>
      <c r="U263" s="50" t="n"/>
    </row>
    <row r="264" ht="15" customHeight="1" s="37">
      <c r="C264" s="48" t="n"/>
      <c r="N264" s="49" t="n"/>
      <c r="O264" s="49" t="n"/>
      <c r="Q264" s="50" t="n"/>
      <c r="U264" s="50" t="n"/>
    </row>
    <row r="265" ht="15" customHeight="1" s="37">
      <c r="C265" s="48" t="n"/>
      <c r="N265" s="49" t="n"/>
      <c r="O265" s="49" t="n"/>
      <c r="Q265" s="50" t="n"/>
      <c r="U265" s="50" t="n"/>
    </row>
    <row r="266" ht="15" customHeight="1" s="37">
      <c r="C266" s="48" t="n"/>
      <c r="N266" s="49" t="n"/>
      <c r="O266" s="49" t="n"/>
      <c r="Q266" s="50" t="n"/>
      <c r="U266" s="50" t="n"/>
    </row>
    <row r="267" ht="15" customHeight="1" s="37">
      <c r="C267" s="48" t="n"/>
      <c r="N267" s="49" t="n"/>
      <c r="O267" s="49" t="n"/>
      <c r="Q267" s="50" t="n"/>
      <c r="U267" s="50" t="n"/>
    </row>
    <row r="268" ht="15" customHeight="1" s="37">
      <c r="C268" s="48" t="n"/>
      <c r="N268" s="49" t="n"/>
      <c r="O268" s="49" t="n"/>
      <c r="Q268" s="50" t="n"/>
      <c r="U268" s="50" t="n"/>
    </row>
    <row r="269" ht="15" customHeight="1" s="37">
      <c r="C269" s="48" t="n"/>
      <c r="N269" s="49" t="n"/>
      <c r="O269" s="49" t="n"/>
      <c r="Q269" s="50" t="n"/>
      <c r="U269" s="50" t="n"/>
    </row>
    <row r="270" ht="15" customHeight="1" s="37">
      <c r="C270" s="48" t="n"/>
      <c r="N270" s="49" t="n"/>
      <c r="O270" s="49" t="n"/>
      <c r="Q270" s="50" t="n"/>
      <c r="U270" s="50" t="n"/>
    </row>
    <row r="271" ht="15" customHeight="1" s="37">
      <c r="C271" s="48" t="n"/>
      <c r="N271" s="49" t="n"/>
      <c r="O271" s="49" t="n"/>
      <c r="Q271" s="50" t="n"/>
      <c r="U271" s="50" t="n"/>
    </row>
    <row r="272" ht="15" customHeight="1" s="37">
      <c r="C272" s="48" t="n"/>
      <c r="N272" s="49" t="n"/>
      <c r="O272" s="49" t="n"/>
      <c r="Q272" s="50" t="n"/>
      <c r="U272" s="50" t="n"/>
    </row>
    <row r="273" ht="15" customHeight="1" s="37">
      <c r="C273" s="48" t="n"/>
      <c r="N273" s="49" t="n"/>
      <c r="O273" s="49" t="n"/>
      <c r="Q273" s="50" t="n"/>
      <c r="U273" s="50" t="n"/>
    </row>
    <row r="274" ht="15" customHeight="1" s="37">
      <c r="C274" s="48" t="n"/>
      <c r="N274" s="49" t="n"/>
      <c r="O274" s="49" t="n"/>
      <c r="Q274" s="50" t="n"/>
      <c r="U274" s="50" t="n"/>
    </row>
    <row r="275" ht="15" customHeight="1" s="37">
      <c r="C275" s="48" t="n"/>
      <c r="N275" s="49" t="n"/>
      <c r="O275" s="49" t="n"/>
      <c r="Q275" s="50" t="n"/>
      <c r="U275" s="50" t="n"/>
    </row>
    <row r="276" ht="15" customHeight="1" s="37">
      <c r="C276" s="48" t="n"/>
      <c r="N276" s="49" t="n"/>
      <c r="O276" s="49" t="n"/>
      <c r="Q276" s="50" t="n"/>
      <c r="U276" s="50" t="n"/>
    </row>
    <row r="277" ht="15" customHeight="1" s="37">
      <c r="C277" s="48" t="n"/>
      <c r="N277" s="49" t="n"/>
      <c r="O277" s="49" t="n"/>
      <c r="Q277" s="50" t="n"/>
      <c r="U277" s="50" t="n"/>
    </row>
    <row r="278" ht="15" customHeight="1" s="37">
      <c r="C278" s="48" t="n"/>
      <c r="N278" s="49" t="n"/>
      <c r="O278" s="49" t="n"/>
      <c r="Q278" s="50" t="n"/>
      <c r="U278" s="50" t="n"/>
    </row>
    <row r="279" ht="15" customHeight="1" s="37">
      <c r="C279" s="48" t="n"/>
      <c r="N279" s="49" t="n"/>
      <c r="O279" s="49" t="n"/>
      <c r="Q279" s="50" t="n"/>
      <c r="U279" s="50" t="n"/>
    </row>
    <row r="280" ht="15" customHeight="1" s="37">
      <c r="C280" s="48" t="n"/>
      <c r="N280" s="49" t="n"/>
      <c r="O280" s="49" t="n"/>
      <c r="Q280" s="50" t="n"/>
      <c r="U280" s="50" t="n"/>
    </row>
    <row r="281" ht="15" customHeight="1" s="37">
      <c r="C281" s="48" t="n"/>
      <c r="N281" s="49" t="n"/>
      <c r="O281" s="49" t="n"/>
      <c r="Q281" s="50" t="n"/>
      <c r="U281" s="50" t="n"/>
    </row>
    <row r="282" ht="15" customHeight="1" s="37">
      <c r="C282" s="48" t="n"/>
      <c r="N282" s="49" t="n"/>
      <c r="O282" s="49" t="n"/>
      <c r="Q282" s="50" t="n"/>
      <c r="U282" s="50" t="n"/>
    </row>
    <row r="283" ht="15" customHeight="1" s="37">
      <c r="C283" s="48" t="n"/>
      <c r="N283" s="49" t="n"/>
      <c r="O283" s="49" t="n"/>
      <c r="Q283" s="50" t="n"/>
      <c r="U283" s="50" t="n"/>
    </row>
    <row r="284" ht="15" customHeight="1" s="37">
      <c r="C284" s="48" t="n"/>
      <c r="N284" s="49" t="n"/>
      <c r="O284" s="49" t="n"/>
      <c r="Q284" s="50" t="n"/>
      <c r="U284" s="50" t="n"/>
    </row>
    <row r="285" ht="15" customHeight="1" s="37">
      <c r="C285" s="48" t="n"/>
      <c r="N285" s="49" t="n"/>
      <c r="O285" s="49" t="n"/>
      <c r="Q285" s="50" t="n"/>
      <c r="U285" s="50" t="n"/>
    </row>
    <row r="286" ht="15" customHeight="1" s="37">
      <c r="C286" s="48" t="n"/>
      <c r="N286" s="49" t="n"/>
      <c r="O286" s="49" t="n"/>
      <c r="Q286" s="50" t="n"/>
      <c r="U286" s="50" t="n"/>
    </row>
    <row r="287" ht="15" customHeight="1" s="37">
      <c r="C287" s="48" t="n"/>
      <c r="N287" s="49" t="n"/>
      <c r="O287" s="49" t="n"/>
      <c r="Q287" s="50" t="n"/>
      <c r="U287" s="50" t="n"/>
    </row>
    <row r="288" ht="15" customHeight="1" s="37">
      <c r="C288" s="48" t="n"/>
      <c r="N288" s="49" t="n"/>
      <c r="O288" s="49" t="n"/>
      <c r="Q288" s="50" t="n"/>
      <c r="U288" s="50" t="n"/>
    </row>
    <row r="289" ht="15" customHeight="1" s="37">
      <c r="C289" s="48" t="n"/>
      <c r="N289" s="49" t="n"/>
      <c r="O289" s="49" t="n"/>
      <c r="Q289" s="50" t="n"/>
      <c r="U289" s="50" t="n"/>
    </row>
    <row r="290" ht="15" customHeight="1" s="37">
      <c r="C290" s="48" t="n"/>
      <c r="N290" s="49" t="n"/>
      <c r="O290" s="49" t="n"/>
      <c r="Q290" s="50" t="n"/>
      <c r="U290" s="50" t="n"/>
    </row>
    <row r="291" ht="15" customHeight="1" s="37">
      <c r="C291" s="48" t="n"/>
      <c r="N291" s="49" t="n"/>
      <c r="O291" s="49" t="n"/>
      <c r="Q291" s="50" t="n"/>
      <c r="U291" s="50" t="n"/>
    </row>
    <row r="292" ht="15" customHeight="1" s="37">
      <c r="C292" s="48" t="n"/>
      <c r="N292" s="49" t="n"/>
      <c r="O292" s="49" t="n"/>
      <c r="Q292" s="50" t="n"/>
      <c r="U292" s="50" t="n"/>
    </row>
    <row r="293" ht="15" customHeight="1" s="37">
      <c r="C293" s="48" t="n"/>
      <c r="N293" s="49" t="n"/>
      <c r="O293" s="49" t="n"/>
      <c r="Q293" s="50" t="n"/>
      <c r="U293" s="50" t="n"/>
    </row>
    <row r="294" ht="15" customHeight="1" s="37">
      <c r="C294" s="48" t="n"/>
      <c r="N294" s="49" t="n"/>
      <c r="O294" s="49" t="n"/>
      <c r="Q294" s="50" t="n"/>
      <c r="U294" s="50" t="n"/>
    </row>
    <row r="295" ht="15" customHeight="1" s="37">
      <c r="C295" s="48" t="n"/>
      <c r="N295" s="49" t="n"/>
      <c r="O295" s="49" t="n"/>
      <c r="Q295" s="50" t="n"/>
      <c r="U295" s="50" t="n"/>
    </row>
    <row r="296" ht="15" customHeight="1" s="37">
      <c r="C296" s="48" t="n"/>
      <c r="N296" s="49" t="n"/>
      <c r="O296" s="49" t="n"/>
      <c r="Q296" s="50" t="n"/>
      <c r="U296" s="50" t="n"/>
    </row>
    <row r="297" ht="15" customHeight="1" s="37">
      <c r="C297" s="48" t="n"/>
      <c r="N297" s="49" t="n"/>
      <c r="O297" s="49" t="n"/>
      <c r="Q297" s="50" t="n"/>
      <c r="U297" s="50" t="n"/>
    </row>
    <row r="298" ht="15" customHeight="1" s="37">
      <c r="C298" s="48" t="n"/>
      <c r="N298" s="49" t="n"/>
      <c r="O298" s="49" t="n"/>
      <c r="Q298" s="50" t="n"/>
      <c r="U298" s="50" t="n"/>
    </row>
    <row r="299" ht="15" customHeight="1" s="37">
      <c r="C299" s="48" t="n"/>
      <c r="N299" s="49" t="n"/>
      <c r="O299" s="49" t="n"/>
      <c r="Q299" s="50" t="n"/>
      <c r="U299" s="50" t="n"/>
    </row>
    <row r="300" ht="15" customHeight="1" s="37">
      <c r="C300" s="48" t="n"/>
      <c r="N300" s="49" t="n"/>
      <c r="O300" s="49" t="n"/>
      <c r="Q300" s="50" t="n"/>
      <c r="U300" s="50" t="n"/>
    </row>
    <row r="301" ht="15" customHeight="1" s="37">
      <c r="C301" s="48" t="n"/>
      <c r="N301" s="49" t="n"/>
      <c r="O301" s="49" t="n"/>
      <c r="Q301" s="50" t="n"/>
      <c r="U301" s="50" t="n"/>
    </row>
    <row r="302" ht="15" customHeight="1" s="37">
      <c r="C302" s="48" t="n"/>
      <c r="N302" s="49" t="n"/>
      <c r="O302" s="49" t="n"/>
      <c r="Q302" s="50" t="n"/>
      <c r="U302" s="50" t="n"/>
    </row>
    <row r="303" ht="15" customHeight="1" s="37">
      <c r="C303" s="48" t="n"/>
      <c r="N303" s="49" t="n"/>
      <c r="O303" s="49" t="n"/>
      <c r="Q303" s="50" t="n"/>
      <c r="U303" s="50" t="n"/>
    </row>
    <row r="304" ht="15" customHeight="1" s="37">
      <c r="C304" s="48" t="n"/>
      <c r="N304" s="49" t="n"/>
      <c r="O304" s="49" t="n"/>
      <c r="Q304" s="50" t="n"/>
      <c r="U304" s="50" t="n"/>
    </row>
    <row r="305" ht="15" customHeight="1" s="37">
      <c r="C305" s="48" t="n"/>
      <c r="N305" s="49" t="n"/>
      <c r="O305" s="49" t="n"/>
      <c r="Q305" s="50" t="n"/>
      <c r="U305" s="50" t="n"/>
    </row>
    <row r="306" ht="15" customHeight="1" s="37">
      <c r="C306" s="48" t="n"/>
      <c r="N306" s="49" t="n"/>
      <c r="O306" s="49" t="n"/>
      <c r="Q306" s="50" t="n"/>
      <c r="U306" s="50" t="n"/>
    </row>
    <row r="307" ht="15" customHeight="1" s="37">
      <c r="C307" s="48" t="n"/>
      <c r="N307" s="49" t="n"/>
      <c r="O307" s="49" t="n"/>
      <c r="Q307" s="50" t="n"/>
      <c r="U307" s="50" t="n"/>
    </row>
    <row r="308" ht="15" customHeight="1" s="37">
      <c r="C308" s="48" t="n"/>
      <c r="N308" s="49" t="n"/>
      <c r="O308" s="49" t="n"/>
      <c r="Q308" s="50" t="n"/>
      <c r="U308" s="50" t="n"/>
    </row>
    <row r="309" ht="15" customHeight="1" s="37">
      <c r="C309" s="48" t="n"/>
      <c r="N309" s="49" t="n"/>
      <c r="O309" s="49" t="n"/>
      <c r="Q309" s="50" t="n"/>
      <c r="U309" s="50" t="n"/>
    </row>
    <row r="310" ht="15" customHeight="1" s="37">
      <c r="C310" s="48" t="n"/>
      <c r="N310" s="49" t="n"/>
      <c r="O310" s="49" t="n"/>
      <c r="Q310" s="50" t="n"/>
      <c r="U310" s="50" t="n"/>
    </row>
    <row r="311" ht="15" customHeight="1" s="37">
      <c r="C311" s="48" t="n"/>
      <c r="N311" s="49" t="n"/>
      <c r="O311" s="49" t="n"/>
      <c r="Q311" s="50" t="n"/>
      <c r="U311" s="50" t="n"/>
    </row>
    <row r="312" ht="15" customHeight="1" s="37">
      <c r="C312" s="48" t="n"/>
      <c r="N312" s="49" t="n"/>
      <c r="O312" s="49" t="n"/>
      <c r="Q312" s="50" t="n"/>
      <c r="U312" s="50" t="n"/>
    </row>
    <row r="313" ht="15" customHeight="1" s="37">
      <c r="C313" s="48" t="n"/>
      <c r="N313" s="49" t="n"/>
      <c r="O313" s="49" t="n"/>
      <c r="Q313" s="50" t="n"/>
      <c r="U313" s="50" t="n"/>
    </row>
    <row r="314" ht="15" customHeight="1" s="37">
      <c r="C314" s="48" t="n"/>
      <c r="N314" s="49" t="n"/>
      <c r="O314" s="49" t="n"/>
      <c r="Q314" s="50" t="n"/>
      <c r="U314" s="50" t="n"/>
    </row>
    <row r="315" ht="15" customHeight="1" s="37">
      <c r="C315" s="48" t="n"/>
      <c r="N315" s="49" t="n"/>
      <c r="O315" s="49" t="n"/>
      <c r="Q315" s="50" t="n"/>
      <c r="U315" s="50" t="n"/>
    </row>
    <row r="316" ht="15" customHeight="1" s="37">
      <c r="C316" s="48" t="n"/>
      <c r="N316" s="49" t="n"/>
      <c r="O316" s="49" t="n"/>
      <c r="Q316" s="50" t="n"/>
      <c r="U316" s="50" t="n"/>
    </row>
    <row r="317" ht="15" customHeight="1" s="37">
      <c r="C317" s="48" t="n"/>
      <c r="N317" s="49" t="n"/>
      <c r="O317" s="49" t="n"/>
      <c r="Q317" s="50" t="n"/>
      <c r="U317" s="50" t="n"/>
    </row>
    <row r="318" ht="15" customHeight="1" s="37">
      <c r="C318" s="48" t="n"/>
      <c r="N318" s="49" t="n"/>
      <c r="O318" s="49" t="n"/>
      <c r="Q318" s="50" t="n"/>
      <c r="U318" s="50" t="n"/>
    </row>
    <row r="319" ht="15" customHeight="1" s="37">
      <c r="C319" s="48" t="n"/>
      <c r="N319" s="49" t="n"/>
      <c r="O319" s="49" t="n"/>
      <c r="Q319" s="50" t="n"/>
      <c r="U319" s="50" t="n"/>
    </row>
    <row r="320" ht="15" customHeight="1" s="37">
      <c r="C320" s="48" t="n"/>
      <c r="N320" s="49" t="n"/>
      <c r="O320" s="49" t="n"/>
      <c r="Q320" s="50" t="n"/>
      <c r="U320" s="50" t="n"/>
    </row>
    <row r="321" ht="15" customHeight="1" s="37">
      <c r="C321" s="48" t="n"/>
      <c r="N321" s="49" t="n"/>
      <c r="O321" s="49" t="n"/>
      <c r="Q321" s="50" t="n"/>
      <c r="U321" s="50" t="n"/>
    </row>
    <row r="322" ht="15" customHeight="1" s="37">
      <c r="C322" s="48" t="n"/>
      <c r="N322" s="49" t="n"/>
      <c r="O322" s="49" t="n"/>
      <c r="Q322" s="50" t="n"/>
      <c r="U322" s="50" t="n"/>
    </row>
    <row r="323" ht="15" customHeight="1" s="37">
      <c r="C323" s="48" t="n"/>
      <c r="N323" s="49" t="n"/>
      <c r="O323" s="49" t="n"/>
      <c r="Q323" s="50" t="n"/>
      <c r="U323" s="50" t="n"/>
    </row>
    <row r="324" ht="15" customHeight="1" s="37">
      <c r="C324" s="48" t="n"/>
      <c r="N324" s="49" t="n"/>
      <c r="O324" s="49" t="n"/>
      <c r="Q324" s="50" t="n"/>
      <c r="U324" s="50" t="n"/>
    </row>
    <row r="325" ht="15" customHeight="1" s="37">
      <c r="C325" s="48" t="n"/>
      <c r="N325" s="49" t="n"/>
      <c r="O325" s="49" t="n"/>
      <c r="Q325" s="50" t="n"/>
      <c r="U325" s="50" t="n"/>
    </row>
    <row r="326" ht="15" customHeight="1" s="37">
      <c r="C326" s="48" t="n"/>
      <c r="N326" s="49" t="n"/>
      <c r="O326" s="49" t="n"/>
      <c r="Q326" s="50" t="n"/>
      <c r="U326" s="50" t="n"/>
    </row>
    <row r="327" ht="15" customHeight="1" s="37">
      <c r="C327" s="48" t="n"/>
      <c r="N327" s="49" t="n"/>
      <c r="O327" s="49" t="n"/>
      <c r="Q327" s="50" t="n"/>
      <c r="U327" s="50" t="n"/>
    </row>
    <row r="328" ht="15" customHeight="1" s="37">
      <c r="C328" s="48" t="n"/>
      <c r="N328" s="49" t="n"/>
      <c r="O328" s="49" t="n"/>
      <c r="Q328" s="50" t="n"/>
      <c r="U328" s="50" t="n"/>
    </row>
    <row r="329" ht="15" customHeight="1" s="37">
      <c r="C329" s="48" t="n"/>
      <c r="N329" s="49" t="n"/>
      <c r="O329" s="49" t="n"/>
      <c r="Q329" s="50" t="n"/>
      <c r="U329" s="50" t="n"/>
    </row>
    <row r="330" ht="15" customHeight="1" s="37">
      <c r="C330" s="48" t="n"/>
      <c r="N330" s="49" t="n"/>
      <c r="O330" s="49" t="n"/>
      <c r="Q330" s="50" t="n"/>
      <c r="U330" s="50" t="n"/>
    </row>
    <row r="331" ht="15" customHeight="1" s="37">
      <c r="C331" s="48" t="n"/>
      <c r="N331" s="49" t="n"/>
      <c r="O331" s="49" t="n"/>
      <c r="Q331" s="50" t="n"/>
      <c r="U331" s="50" t="n"/>
    </row>
    <row r="332" ht="15" customHeight="1" s="37">
      <c r="C332" s="48" t="n"/>
      <c r="N332" s="49" t="n"/>
      <c r="O332" s="49" t="n"/>
      <c r="Q332" s="50" t="n"/>
      <c r="U332" s="50" t="n"/>
    </row>
    <row r="333" ht="15" customHeight="1" s="37">
      <c r="C333" s="48" t="n"/>
      <c r="N333" s="49" t="n"/>
      <c r="O333" s="49" t="n"/>
      <c r="Q333" s="50" t="n"/>
      <c r="U333" s="50" t="n"/>
    </row>
    <row r="334" ht="15" customHeight="1" s="37">
      <c r="C334" s="48" t="n"/>
      <c r="N334" s="49" t="n"/>
      <c r="O334" s="49" t="n"/>
      <c r="Q334" s="50" t="n"/>
      <c r="U334" s="50" t="n"/>
    </row>
    <row r="335" ht="15" customHeight="1" s="37">
      <c r="C335" s="48" t="n"/>
      <c r="N335" s="49" t="n"/>
      <c r="O335" s="49" t="n"/>
      <c r="Q335" s="50" t="n"/>
      <c r="U335" s="50" t="n"/>
    </row>
    <row r="336" ht="15" customHeight="1" s="37">
      <c r="C336" s="48" t="n"/>
      <c r="N336" s="49" t="n"/>
      <c r="O336" s="49" t="n"/>
      <c r="Q336" s="50" t="n"/>
      <c r="U336" s="50" t="n"/>
    </row>
    <row r="337" ht="15" customHeight="1" s="37">
      <c r="C337" s="48" t="n"/>
      <c r="N337" s="49" t="n"/>
      <c r="O337" s="49" t="n"/>
      <c r="Q337" s="50" t="n"/>
      <c r="U337" s="50" t="n"/>
    </row>
    <row r="338" ht="15" customHeight="1" s="37">
      <c r="C338" s="48" t="n"/>
      <c r="N338" s="49" t="n"/>
      <c r="O338" s="49" t="n"/>
      <c r="Q338" s="50" t="n"/>
      <c r="U338" s="50" t="n"/>
    </row>
    <row r="339" ht="15" customHeight="1" s="37">
      <c r="C339" s="48" t="n"/>
      <c r="N339" s="49" t="n"/>
      <c r="O339" s="49" t="n"/>
      <c r="Q339" s="50" t="n"/>
      <c r="U339" s="50" t="n"/>
    </row>
    <row r="340" ht="15" customHeight="1" s="37">
      <c r="C340" s="48" t="n"/>
      <c r="N340" s="49" t="n"/>
      <c r="O340" s="49" t="n"/>
      <c r="Q340" s="50" t="n"/>
      <c r="U340" s="50" t="n"/>
    </row>
    <row r="341" ht="15" customHeight="1" s="37">
      <c r="C341" s="48" t="n"/>
      <c r="N341" s="49" t="n"/>
      <c r="O341" s="49" t="n"/>
      <c r="Q341" s="50" t="n"/>
      <c r="U341" s="50" t="n"/>
    </row>
    <row r="342" ht="15" customHeight="1" s="37">
      <c r="C342" s="48" t="n"/>
      <c r="N342" s="49" t="n"/>
      <c r="O342" s="49" t="n"/>
      <c r="Q342" s="50" t="n"/>
      <c r="U342" s="50" t="n"/>
    </row>
    <row r="343" ht="15" customHeight="1" s="37">
      <c r="C343" s="48" t="n"/>
      <c r="N343" s="49" t="n"/>
      <c r="O343" s="49" t="n"/>
      <c r="Q343" s="50" t="n"/>
      <c r="U343" s="50" t="n"/>
    </row>
    <row r="344" ht="15" customHeight="1" s="37">
      <c r="C344" s="48" t="n"/>
      <c r="N344" s="49" t="n"/>
      <c r="O344" s="49" t="n"/>
      <c r="Q344" s="50" t="n"/>
      <c r="U344" s="50" t="n"/>
    </row>
    <row r="345" ht="15" customHeight="1" s="37">
      <c r="C345" s="48" t="n"/>
      <c r="N345" s="49" t="n"/>
      <c r="O345" s="49" t="n"/>
      <c r="Q345" s="50" t="n"/>
      <c r="U345" s="50" t="n"/>
    </row>
    <row r="346" ht="15" customHeight="1" s="37">
      <c r="C346" s="48" t="n"/>
      <c r="N346" s="49" t="n"/>
      <c r="O346" s="49" t="n"/>
      <c r="Q346" s="50" t="n"/>
      <c r="U346" s="50" t="n"/>
    </row>
    <row r="347" ht="15" customHeight="1" s="37">
      <c r="C347" s="48" t="n"/>
      <c r="N347" s="49" t="n"/>
      <c r="O347" s="49" t="n"/>
      <c r="Q347" s="50" t="n"/>
      <c r="U347" s="50" t="n"/>
    </row>
    <row r="348" ht="15" customHeight="1" s="37">
      <c r="C348" s="48" t="n"/>
      <c r="N348" s="49" t="n"/>
      <c r="O348" s="49" t="n"/>
      <c r="Q348" s="50" t="n"/>
      <c r="U348" s="50" t="n"/>
    </row>
    <row r="349" ht="15" customHeight="1" s="37">
      <c r="C349" s="48" t="n"/>
      <c r="N349" s="49" t="n"/>
      <c r="O349" s="49" t="n"/>
      <c r="Q349" s="50" t="n"/>
      <c r="U349" s="50" t="n"/>
    </row>
    <row r="350" ht="15" customHeight="1" s="37">
      <c r="C350" s="48" t="n"/>
      <c r="N350" s="49" t="n"/>
      <c r="O350" s="49" t="n"/>
      <c r="Q350" s="50" t="n"/>
      <c r="U350" s="50" t="n"/>
    </row>
    <row r="351" ht="15" customHeight="1" s="37">
      <c r="C351" s="48" t="n"/>
      <c r="N351" s="49" t="n"/>
      <c r="O351" s="49" t="n"/>
      <c r="Q351" s="50" t="n"/>
      <c r="U351" s="50" t="n"/>
    </row>
    <row r="352" ht="15" customHeight="1" s="37">
      <c r="C352" s="48" t="n"/>
      <c r="N352" s="49" t="n"/>
      <c r="O352" s="49" t="n"/>
      <c r="Q352" s="50" t="n"/>
      <c r="U352" s="50" t="n"/>
    </row>
    <row r="353" ht="15" customHeight="1" s="37">
      <c r="C353" s="48" t="n"/>
      <c r="N353" s="49" t="n"/>
      <c r="O353" s="49" t="n"/>
      <c r="Q353" s="50" t="n"/>
      <c r="U353" s="50" t="n"/>
    </row>
    <row r="354" ht="15" customHeight="1" s="37">
      <c r="C354" s="48" t="n"/>
      <c r="N354" s="49" t="n"/>
      <c r="O354" s="49" t="n"/>
      <c r="Q354" s="50" t="n"/>
      <c r="U354" s="50" t="n"/>
    </row>
    <row r="355" ht="15" customHeight="1" s="37">
      <c r="C355" s="48" t="n"/>
      <c r="N355" s="49" t="n"/>
      <c r="O355" s="49" t="n"/>
      <c r="Q355" s="50" t="n"/>
      <c r="U355" s="50" t="n"/>
    </row>
    <row r="356" ht="15" customHeight="1" s="37">
      <c r="C356" s="48" t="n"/>
      <c r="N356" s="49" t="n"/>
      <c r="O356" s="49" t="n"/>
      <c r="Q356" s="50" t="n"/>
      <c r="U356" s="50" t="n"/>
    </row>
    <row r="357" ht="15" customHeight="1" s="37">
      <c r="C357" s="48" t="n"/>
      <c r="N357" s="49" t="n"/>
      <c r="O357" s="49" t="n"/>
      <c r="Q357" s="50" t="n"/>
      <c r="U357" s="50" t="n"/>
    </row>
    <row r="358" ht="15" customHeight="1" s="37">
      <c r="C358" s="48" t="n"/>
      <c r="N358" s="49" t="n"/>
      <c r="O358" s="49" t="n"/>
      <c r="Q358" s="50" t="n"/>
      <c r="U358" s="50" t="n"/>
    </row>
    <row r="359" ht="15" customHeight="1" s="37">
      <c r="C359" s="48" t="n"/>
      <c r="N359" s="49" t="n"/>
      <c r="O359" s="49" t="n"/>
      <c r="Q359" s="50" t="n"/>
      <c r="U359" s="50" t="n"/>
    </row>
    <row r="360" ht="15" customHeight="1" s="37">
      <c r="C360" s="48" t="n"/>
      <c r="N360" s="49" t="n"/>
      <c r="O360" s="49" t="n"/>
      <c r="Q360" s="50" t="n"/>
      <c r="U360" s="50" t="n"/>
    </row>
    <row r="361" ht="15" customHeight="1" s="37">
      <c r="C361" s="48" t="n"/>
      <c r="N361" s="49" t="n"/>
      <c r="O361" s="49" t="n"/>
      <c r="Q361" s="50" t="n"/>
      <c r="U361" s="50" t="n"/>
    </row>
    <row r="362" ht="15" customHeight="1" s="37">
      <c r="C362" s="48" t="n"/>
      <c r="N362" s="49" t="n"/>
      <c r="O362" s="49" t="n"/>
      <c r="Q362" s="50" t="n"/>
      <c r="U362" s="50" t="n"/>
    </row>
    <row r="363" ht="15" customHeight="1" s="37">
      <c r="C363" s="48" t="n"/>
      <c r="N363" s="49" t="n"/>
      <c r="O363" s="49" t="n"/>
      <c r="Q363" s="50" t="n"/>
      <c r="U363" s="50" t="n"/>
    </row>
    <row r="364" ht="15" customHeight="1" s="37">
      <c r="C364" s="48" t="n"/>
      <c r="N364" s="49" t="n"/>
      <c r="O364" s="49" t="n"/>
      <c r="Q364" s="50" t="n"/>
      <c r="U364" s="50" t="n"/>
    </row>
    <row r="365" ht="15" customHeight="1" s="37">
      <c r="C365" s="48" t="n"/>
      <c r="N365" s="49" t="n"/>
      <c r="O365" s="49" t="n"/>
      <c r="Q365" s="50" t="n"/>
      <c r="U365" s="50" t="n"/>
    </row>
    <row r="366" ht="15" customHeight="1" s="37">
      <c r="C366" s="48" t="n"/>
      <c r="N366" s="49" t="n"/>
      <c r="O366" s="49" t="n"/>
      <c r="Q366" s="50" t="n"/>
      <c r="U366" s="50" t="n"/>
    </row>
    <row r="367" ht="15" customHeight="1" s="37">
      <c r="C367" s="48" t="n"/>
      <c r="N367" s="49" t="n"/>
      <c r="O367" s="49" t="n"/>
      <c r="Q367" s="50" t="n"/>
      <c r="U367" s="50" t="n"/>
    </row>
    <row r="368" ht="15" customHeight="1" s="37">
      <c r="C368" s="48" t="n"/>
      <c r="N368" s="49" t="n"/>
      <c r="O368" s="49" t="n"/>
      <c r="Q368" s="50" t="n"/>
      <c r="U368" s="50" t="n"/>
    </row>
    <row r="369" ht="15" customHeight="1" s="37">
      <c r="C369" s="48" t="n"/>
      <c r="N369" s="49" t="n"/>
      <c r="O369" s="49" t="n"/>
      <c r="Q369" s="50" t="n"/>
      <c r="U369" s="50" t="n"/>
    </row>
    <row r="370" ht="15" customHeight="1" s="37">
      <c r="C370" s="48" t="n"/>
      <c r="N370" s="49" t="n"/>
      <c r="O370" s="49" t="n"/>
      <c r="Q370" s="50" t="n"/>
      <c r="U370" s="50" t="n"/>
    </row>
    <row r="371" ht="15" customHeight="1" s="37">
      <c r="C371" s="48" t="n"/>
      <c r="N371" s="49" t="n"/>
      <c r="O371" s="49" t="n"/>
      <c r="Q371" s="50" t="n"/>
      <c r="U371" s="50" t="n"/>
    </row>
    <row r="372" ht="15" customHeight="1" s="37">
      <c r="C372" s="48" t="n"/>
      <c r="N372" s="49" t="n"/>
      <c r="O372" s="49" t="n"/>
      <c r="Q372" s="50" t="n"/>
      <c r="U372" s="50" t="n"/>
    </row>
    <row r="373" ht="15" customHeight="1" s="37">
      <c r="C373" s="48" t="n"/>
      <c r="N373" s="49" t="n"/>
      <c r="O373" s="49" t="n"/>
      <c r="Q373" s="50" t="n"/>
      <c r="U373" s="50" t="n"/>
    </row>
    <row r="374" ht="15" customHeight="1" s="37">
      <c r="C374" s="48" t="n"/>
      <c r="N374" s="49" t="n"/>
      <c r="O374" s="49" t="n"/>
      <c r="Q374" s="50" t="n"/>
      <c r="U374" s="50" t="n"/>
    </row>
    <row r="375" ht="15" customHeight="1" s="37">
      <c r="C375" s="48" t="n"/>
      <c r="N375" s="49" t="n"/>
      <c r="O375" s="49" t="n"/>
      <c r="Q375" s="50" t="n"/>
      <c r="U375" s="50" t="n"/>
    </row>
    <row r="376" ht="15" customHeight="1" s="37">
      <c r="C376" s="48" t="n"/>
      <c r="N376" s="49" t="n"/>
      <c r="O376" s="49" t="n"/>
      <c r="Q376" s="50" t="n"/>
      <c r="U376" s="50" t="n"/>
    </row>
    <row r="377" ht="15" customHeight="1" s="37">
      <c r="C377" s="48" t="n"/>
      <c r="N377" s="49" t="n"/>
      <c r="O377" s="49" t="n"/>
      <c r="Q377" s="50" t="n"/>
      <c r="U377" s="50" t="n"/>
    </row>
    <row r="378" ht="15" customHeight="1" s="37">
      <c r="C378" s="48" t="n"/>
      <c r="N378" s="49" t="n"/>
      <c r="O378" s="49" t="n"/>
      <c r="Q378" s="50" t="n"/>
      <c r="U378" s="50" t="n"/>
    </row>
    <row r="379" ht="15" customHeight="1" s="37">
      <c r="C379" s="48" t="n"/>
      <c r="N379" s="49" t="n"/>
      <c r="O379" s="49" t="n"/>
      <c r="Q379" s="50" t="n"/>
      <c r="U379" s="50" t="n"/>
    </row>
    <row r="380" ht="15" customHeight="1" s="37">
      <c r="C380" s="48" t="n"/>
      <c r="N380" s="49" t="n"/>
      <c r="O380" s="49" t="n"/>
      <c r="Q380" s="50" t="n"/>
      <c r="U380" s="50" t="n"/>
    </row>
    <row r="381" ht="15" customHeight="1" s="37">
      <c r="C381" s="48" t="n"/>
      <c r="N381" s="49" t="n"/>
      <c r="O381" s="49" t="n"/>
      <c r="Q381" s="50" t="n"/>
      <c r="U381" s="50" t="n"/>
    </row>
    <row r="382" ht="15" customHeight="1" s="37">
      <c r="C382" s="48" t="n"/>
      <c r="N382" s="49" t="n"/>
      <c r="O382" s="49" t="n"/>
      <c r="Q382" s="50" t="n"/>
      <c r="U382" s="50" t="n"/>
    </row>
    <row r="383" ht="15" customHeight="1" s="37">
      <c r="C383" s="48" t="n"/>
      <c r="N383" s="49" t="n"/>
      <c r="O383" s="49" t="n"/>
      <c r="Q383" s="50" t="n"/>
      <c r="U383" s="50" t="n"/>
    </row>
    <row r="384" ht="15" customHeight="1" s="37">
      <c r="C384" s="48" t="n"/>
      <c r="N384" s="49" t="n"/>
      <c r="O384" s="49" t="n"/>
      <c r="Q384" s="50" t="n"/>
      <c r="U384" s="50" t="n"/>
    </row>
    <row r="385" ht="15" customHeight="1" s="37">
      <c r="C385" s="48" t="n"/>
      <c r="N385" s="49" t="n"/>
      <c r="O385" s="49" t="n"/>
      <c r="Q385" s="50" t="n"/>
      <c r="U385" s="50" t="n"/>
    </row>
    <row r="386" ht="15" customHeight="1" s="37">
      <c r="C386" s="48" t="n"/>
      <c r="N386" s="49" t="n"/>
      <c r="O386" s="49" t="n"/>
      <c r="Q386" s="50" t="n"/>
      <c r="U386" s="50" t="n"/>
    </row>
    <row r="387" ht="15" customHeight="1" s="37">
      <c r="C387" s="48" t="n"/>
      <c r="N387" s="49" t="n"/>
      <c r="O387" s="49" t="n"/>
      <c r="Q387" s="50" t="n"/>
      <c r="U387" s="50" t="n"/>
    </row>
    <row r="388" ht="15" customHeight="1" s="37">
      <c r="C388" s="48" t="n"/>
      <c r="N388" s="49" t="n"/>
      <c r="O388" s="49" t="n"/>
      <c r="Q388" s="50" t="n"/>
      <c r="U388" s="50" t="n"/>
    </row>
    <row r="389" ht="15" customHeight="1" s="37">
      <c r="C389" s="48" t="n"/>
      <c r="N389" s="49" t="n"/>
      <c r="O389" s="49" t="n"/>
      <c r="Q389" s="50" t="n"/>
      <c r="U389" s="50" t="n"/>
    </row>
    <row r="390" ht="15" customHeight="1" s="37">
      <c r="C390" s="48" t="n"/>
      <c r="N390" s="49" t="n"/>
      <c r="O390" s="49" t="n"/>
      <c r="Q390" s="50" t="n"/>
      <c r="U390" s="50" t="n"/>
    </row>
    <row r="391" ht="15" customHeight="1" s="37">
      <c r="C391" s="48" t="n"/>
      <c r="N391" s="49" t="n"/>
      <c r="O391" s="49" t="n"/>
      <c r="Q391" s="50" t="n"/>
      <c r="U391" s="50" t="n"/>
    </row>
    <row r="392" ht="15" customHeight="1" s="37">
      <c r="C392" s="48" t="n"/>
      <c r="N392" s="49" t="n"/>
      <c r="O392" s="49" t="n"/>
      <c r="Q392" s="50" t="n"/>
      <c r="U392" s="50" t="n"/>
    </row>
    <row r="393" ht="15" customHeight="1" s="37">
      <c r="C393" s="48" t="n"/>
      <c r="N393" s="49" t="n"/>
      <c r="O393" s="49" t="n"/>
      <c r="Q393" s="50" t="n"/>
      <c r="U393" s="50" t="n"/>
    </row>
    <row r="394" ht="15" customHeight="1" s="37">
      <c r="C394" s="48" t="n"/>
      <c r="N394" s="49" t="n"/>
      <c r="O394" s="49" t="n"/>
      <c r="Q394" s="50" t="n"/>
      <c r="U394" s="50" t="n"/>
    </row>
    <row r="395" ht="15" customHeight="1" s="37">
      <c r="C395" s="48" t="n"/>
      <c r="N395" s="49" t="n"/>
      <c r="O395" s="49" t="n"/>
      <c r="Q395" s="50" t="n"/>
      <c r="U395" s="50" t="n"/>
    </row>
    <row r="396" ht="15" customHeight="1" s="37">
      <c r="C396" s="48" t="n"/>
      <c r="N396" s="49" t="n"/>
      <c r="O396" s="49" t="n"/>
      <c r="Q396" s="50" t="n"/>
      <c r="U396" s="50" t="n"/>
    </row>
    <row r="397" ht="15" customHeight="1" s="37">
      <c r="C397" s="48" t="n"/>
      <c r="N397" s="49" t="n"/>
      <c r="O397" s="49" t="n"/>
      <c r="Q397" s="50" t="n"/>
      <c r="U397" s="50" t="n"/>
    </row>
    <row r="398" ht="15" customHeight="1" s="37">
      <c r="C398" s="48" t="n"/>
      <c r="N398" s="49" t="n"/>
      <c r="O398" s="49" t="n"/>
      <c r="Q398" s="50" t="n"/>
      <c r="U398" s="50" t="n"/>
    </row>
    <row r="399" ht="15" customHeight="1" s="37">
      <c r="C399" s="48" t="n"/>
      <c r="N399" s="49" t="n"/>
      <c r="O399" s="49" t="n"/>
      <c r="Q399" s="50" t="n"/>
      <c r="U399" s="50" t="n"/>
    </row>
    <row r="400" ht="15" customHeight="1" s="37">
      <c r="C400" s="48" t="n"/>
      <c r="N400" s="49" t="n"/>
      <c r="O400" s="49" t="n"/>
      <c r="Q400" s="50" t="n"/>
      <c r="U400" s="50" t="n"/>
    </row>
    <row r="401" ht="15" customHeight="1" s="37">
      <c r="C401" s="48" t="n"/>
      <c r="N401" s="49" t="n"/>
      <c r="O401" s="49" t="n"/>
      <c r="Q401" s="50" t="n"/>
      <c r="U401" s="50" t="n"/>
    </row>
    <row r="402" ht="15" customHeight="1" s="37">
      <c r="C402" s="48" t="n"/>
      <c r="N402" s="49" t="n"/>
      <c r="O402" s="49" t="n"/>
      <c r="Q402" s="50" t="n"/>
      <c r="U402" s="50" t="n"/>
    </row>
    <row r="403" ht="15" customHeight="1" s="37">
      <c r="C403" s="48" t="n"/>
      <c r="N403" s="49" t="n"/>
      <c r="O403" s="49" t="n"/>
      <c r="Q403" s="50" t="n"/>
      <c r="U403" s="50" t="n"/>
    </row>
    <row r="404" ht="15" customHeight="1" s="37">
      <c r="C404" s="48" t="n"/>
      <c r="N404" s="49" t="n"/>
      <c r="O404" s="49" t="n"/>
      <c r="Q404" s="50" t="n"/>
      <c r="U404" s="50" t="n"/>
    </row>
    <row r="405" ht="15" customHeight="1" s="37">
      <c r="C405" s="48" t="n"/>
      <c r="N405" s="49" t="n"/>
      <c r="O405" s="49" t="n"/>
      <c r="Q405" s="50" t="n"/>
      <c r="U405" s="50" t="n"/>
    </row>
    <row r="406" ht="15" customHeight="1" s="37">
      <c r="C406" s="48" t="n"/>
      <c r="N406" s="49" t="n"/>
      <c r="O406" s="49" t="n"/>
      <c r="Q406" s="50" t="n"/>
      <c r="U406" s="50" t="n"/>
    </row>
    <row r="407" ht="15" customHeight="1" s="37">
      <c r="C407" s="48" t="n"/>
      <c r="N407" s="49" t="n"/>
      <c r="O407" s="49" t="n"/>
      <c r="Q407" s="50" t="n"/>
      <c r="U407" s="50" t="n"/>
    </row>
    <row r="408" ht="15" customHeight="1" s="37">
      <c r="C408" s="48" t="n"/>
      <c r="N408" s="49" t="n"/>
      <c r="O408" s="49" t="n"/>
      <c r="Q408" s="50" t="n"/>
      <c r="U408" s="50" t="n"/>
    </row>
    <row r="409" ht="15" customHeight="1" s="37">
      <c r="C409" s="48" t="n"/>
      <c r="N409" s="49" t="n"/>
      <c r="O409" s="49" t="n"/>
      <c r="Q409" s="50" t="n"/>
      <c r="U409" s="50" t="n"/>
    </row>
    <row r="410" ht="15" customHeight="1" s="37">
      <c r="C410" s="48" t="n"/>
      <c r="N410" s="49" t="n"/>
      <c r="O410" s="49" t="n"/>
      <c r="Q410" s="50" t="n"/>
      <c r="U410" s="50" t="n"/>
    </row>
    <row r="411" ht="15" customHeight="1" s="37">
      <c r="C411" s="48" t="n"/>
      <c r="N411" s="49" t="n"/>
      <c r="O411" s="49" t="n"/>
      <c r="Q411" s="50" t="n"/>
      <c r="U411" s="50" t="n"/>
    </row>
    <row r="412" ht="15" customHeight="1" s="37">
      <c r="C412" s="48" t="n"/>
      <c r="N412" s="49" t="n"/>
      <c r="O412" s="49" t="n"/>
      <c r="Q412" s="50" t="n"/>
      <c r="U412" s="50" t="n"/>
    </row>
    <row r="413" ht="15" customHeight="1" s="37">
      <c r="C413" s="48" t="n"/>
      <c r="N413" s="49" t="n"/>
      <c r="O413" s="49" t="n"/>
      <c r="Q413" s="50" t="n"/>
      <c r="U413" s="50" t="n"/>
    </row>
    <row r="414" ht="15" customHeight="1" s="37">
      <c r="C414" s="48" t="n"/>
      <c r="N414" s="49" t="n"/>
      <c r="O414" s="49" t="n"/>
      <c r="Q414" s="50" t="n"/>
      <c r="U414" s="50" t="n"/>
    </row>
    <row r="415" ht="15" customHeight="1" s="37">
      <c r="C415" s="48" t="n"/>
      <c r="N415" s="49" t="n"/>
      <c r="O415" s="49" t="n"/>
      <c r="Q415" s="50" t="n"/>
      <c r="U415" s="50" t="n"/>
    </row>
    <row r="416" ht="15" customHeight="1" s="37">
      <c r="C416" s="48" t="n"/>
      <c r="N416" s="49" t="n"/>
      <c r="O416" s="49" t="n"/>
      <c r="Q416" s="50" t="n"/>
      <c r="U416" s="50" t="n"/>
    </row>
    <row r="417" ht="15" customHeight="1" s="37">
      <c r="C417" s="48" t="n"/>
      <c r="N417" s="49" t="n"/>
      <c r="O417" s="49" t="n"/>
      <c r="Q417" s="50" t="n"/>
      <c r="U417" s="50" t="n"/>
    </row>
    <row r="418" ht="15" customHeight="1" s="37">
      <c r="C418" s="48" t="n"/>
      <c r="N418" s="49" t="n"/>
      <c r="O418" s="49" t="n"/>
      <c r="Q418" s="50" t="n"/>
      <c r="U418" s="50" t="n"/>
    </row>
    <row r="419" ht="15" customHeight="1" s="37">
      <c r="C419" s="48" t="n"/>
      <c r="N419" s="49" t="n"/>
      <c r="O419" s="49" t="n"/>
      <c r="Q419" s="50" t="n"/>
      <c r="U419" s="50" t="n"/>
    </row>
    <row r="420" ht="15" customHeight="1" s="37">
      <c r="C420" s="48" t="n"/>
      <c r="N420" s="49" t="n"/>
      <c r="O420" s="49" t="n"/>
      <c r="Q420" s="50" t="n"/>
      <c r="U420" s="50" t="n"/>
    </row>
    <row r="421" ht="15" customHeight="1" s="37">
      <c r="C421" s="48" t="n"/>
      <c r="N421" s="49" t="n"/>
      <c r="O421" s="49" t="n"/>
      <c r="Q421" s="50" t="n"/>
      <c r="U421" s="50" t="n"/>
    </row>
    <row r="422" ht="15" customHeight="1" s="37">
      <c r="C422" s="48" t="n"/>
      <c r="N422" s="49" t="n"/>
      <c r="O422" s="49" t="n"/>
      <c r="Q422" s="50" t="n"/>
      <c r="U422" s="50" t="n"/>
    </row>
    <row r="423" ht="15" customHeight="1" s="37">
      <c r="C423" s="48" t="n"/>
      <c r="N423" s="49" t="n"/>
      <c r="O423" s="49" t="n"/>
      <c r="Q423" s="50" t="n"/>
      <c r="U423" s="50" t="n"/>
    </row>
    <row r="424" ht="15" customHeight="1" s="37">
      <c r="C424" s="48" t="n"/>
      <c r="N424" s="49" t="n"/>
      <c r="O424" s="49" t="n"/>
      <c r="Q424" s="50" t="n"/>
      <c r="U424" s="50" t="n"/>
    </row>
    <row r="425" ht="15" customHeight="1" s="37">
      <c r="C425" s="48" t="n"/>
      <c r="N425" s="49" t="n"/>
      <c r="O425" s="49" t="n"/>
      <c r="Q425" s="50" t="n"/>
      <c r="U425" s="50" t="n"/>
    </row>
    <row r="426" ht="15" customHeight="1" s="37">
      <c r="C426" s="48" t="n"/>
      <c r="N426" s="49" t="n"/>
      <c r="O426" s="49" t="n"/>
      <c r="Q426" s="50" t="n"/>
      <c r="U426" s="50" t="n"/>
    </row>
    <row r="427" ht="15" customHeight="1" s="37">
      <c r="C427" s="48" t="n"/>
      <c r="N427" s="49" t="n"/>
      <c r="O427" s="49" t="n"/>
      <c r="Q427" s="50" t="n"/>
      <c r="U427" s="50" t="n"/>
    </row>
    <row r="428" ht="15" customHeight="1" s="37">
      <c r="C428" s="48" t="n"/>
      <c r="N428" s="49" t="n"/>
      <c r="O428" s="49" t="n"/>
      <c r="Q428" s="50" t="n"/>
      <c r="U428" s="50" t="n"/>
    </row>
    <row r="429" ht="15" customHeight="1" s="37">
      <c r="C429" s="48" t="n"/>
      <c r="N429" s="49" t="n"/>
      <c r="O429" s="49" t="n"/>
      <c r="Q429" s="50" t="n"/>
      <c r="U429" s="50" t="n"/>
    </row>
    <row r="430" ht="15" customHeight="1" s="37">
      <c r="C430" s="48" t="n"/>
      <c r="N430" s="49" t="n"/>
      <c r="O430" s="49" t="n"/>
      <c r="Q430" s="50" t="n"/>
      <c r="U430" s="50" t="n"/>
    </row>
    <row r="431" ht="15" customHeight="1" s="37">
      <c r="C431" s="48" t="n"/>
      <c r="N431" s="49" t="n"/>
      <c r="O431" s="49" t="n"/>
      <c r="Q431" s="50" t="n"/>
      <c r="U431" s="50" t="n"/>
    </row>
    <row r="432" ht="15" customHeight="1" s="37">
      <c r="C432" s="48" t="n"/>
      <c r="N432" s="49" t="n"/>
      <c r="O432" s="49" t="n"/>
      <c r="Q432" s="50" t="n"/>
      <c r="U432" s="50" t="n"/>
    </row>
    <row r="433" ht="15" customHeight="1" s="37">
      <c r="C433" s="48" t="n"/>
      <c r="N433" s="49" t="n"/>
      <c r="O433" s="49" t="n"/>
      <c r="Q433" s="50" t="n"/>
      <c r="U433" s="50" t="n"/>
    </row>
    <row r="434" ht="15" customHeight="1" s="37">
      <c r="C434" s="48" t="n"/>
      <c r="N434" s="49" t="n"/>
      <c r="O434" s="49" t="n"/>
      <c r="Q434" s="50" t="n"/>
      <c r="U434" s="50" t="n"/>
    </row>
    <row r="435" ht="15" customHeight="1" s="37">
      <c r="C435" s="48" t="n"/>
      <c r="N435" s="49" t="n"/>
      <c r="O435" s="49" t="n"/>
      <c r="Q435" s="50" t="n"/>
      <c r="U435" s="50" t="n"/>
    </row>
    <row r="436" ht="15" customHeight="1" s="37">
      <c r="C436" s="48" t="n"/>
      <c r="N436" s="49" t="n"/>
      <c r="O436" s="49" t="n"/>
      <c r="Q436" s="50" t="n"/>
      <c r="U436" s="50" t="n"/>
    </row>
    <row r="437" ht="15" customHeight="1" s="37">
      <c r="C437" s="48" t="n"/>
      <c r="N437" s="49" t="n"/>
      <c r="O437" s="49" t="n"/>
      <c r="Q437" s="50" t="n"/>
      <c r="U437" s="50" t="n"/>
    </row>
    <row r="438" ht="15" customHeight="1" s="37">
      <c r="C438" s="48" t="n"/>
      <c r="N438" s="49" t="n"/>
      <c r="O438" s="49" t="n"/>
      <c r="Q438" s="50" t="n"/>
      <c r="U438" s="50" t="n"/>
    </row>
    <row r="439" ht="15" customHeight="1" s="37">
      <c r="C439" s="48" t="n"/>
      <c r="N439" s="49" t="n"/>
      <c r="O439" s="49" t="n"/>
      <c r="Q439" s="50" t="n"/>
      <c r="U439" s="50" t="n"/>
    </row>
    <row r="440" ht="15" customHeight="1" s="37">
      <c r="C440" s="48" t="n"/>
      <c r="N440" s="49" t="n"/>
      <c r="O440" s="49" t="n"/>
      <c r="Q440" s="50" t="n"/>
      <c r="U440" s="50" t="n"/>
    </row>
    <row r="441" ht="15" customHeight="1" s="37">
      <c r="C441" s="48" t="n"/>
      <c r="N441" s="49" t="n"/>
      <c r="O441" s="49" t="n"/>
      <c r="Q441" s="50" t="n"/>
      <c r="U441" s="50" t="n"/>
    </row>
    <row r="442" ht="15" customHeight="1" s="37">
      <c r="C442" s="48" t="n"/>
      <c r="N442" s="49" t="n"/>
      <c r="O442" s="49" t="n"/>
      <c r="Q442" s="50" t="n"/>
      <c r="U442" s="50" t="n"/>
    </row>
    <row r="443" ht="15" customHeight="1" s="37">
      <c r="C443" s="48" t="n"/>
      <c r="N443" s="49" t="n"/>
      <c r="O443" s="49" t="n"/>
      <c r="Q443" s="50" t="n"/>
      <c r="U443" s="50" t="n"/>
    </row>
    <row r="444" ht="15" customHeight="1" s="37">
      <c r="C444" s="48" t="n"/>
      <c r="N444" s="49" t="n"/>
      <c r="O444" s="49" t="n"/>
      <c r="Q444" s="50" t="n"/>
      <c r="U444" s="50" t="n"/>
    </row>
    <row r="445" ht="15" customHeight="1" s="37">
      <c r="C445" s="48" t="n"/>
      <c r="N445" s="49" t="n"/>
      <c r="O445" s="49" t="n"/>
      <c r="Q445" s="50" t="n"/>
      <c r="U445" s="50" t="n"/>
    </row>
    <row r="446" ht="15" customHeight="1" s="37">
      <c r="C446" s="48" t="n"/>
      <c r="N446" s="49" t="n"/>
      <c r="O446" s="49" t="n"/>
      <c r="Q446" s="50" t="n"/>
      <c r="U446" s="50" t="n"/>
    </row>
    <row r="447" ht="15" customHeight="1" s="37">
      <c r="C447" s="48" t="n"/>
      <c r="N447" s="49" t="n"/>
      <c r="O447" s="49" t="n"/>
      <c r="Q447" s="50" t="n"/>
      <c r="U447" s="50" t="n"/>
    </row>
    <row r="448" ht="15" customHeight="1" s="37">
      <c r="C448" s="48" t="n"/>
      <c r="N448" s="49" t="n"/>
      <c r="O448" s="49" t="n"/>
      <c r="Q448" s="50" t="n"/>
      <c r="U448" s="50" t="n"/>
    </row>
    <row r="449" ht="15" customHeight="1" s="37">
      <c r="C449" s="48" t="n"/>
      <c r="N449" s="49" t="n"/>
      <c r="O449" s="49" t="n"/>
      <c r="Q449" s="50" t="n"/>
      <c r="U449" s="50" t="n"/>
    </row>
    <row r="450" ht="15" customHeight="1" s="37">
      <c r="C450" s="48" t="n"/>
      <c r="N450" s="49" t="n"/>
      <c r="O450" s="49" t="n"/>
      <c r="Q450" s="50" t="n"/>
      <c r="U450" s="50" t="n"/>
    </row>
    <row r="451" ht="15" customHeight="1" s="37">
      <c r="C451" s="48" t="n"/>
      <c r="N451" s="49" t="n"/>
      <c r="O451" s="49" t="n"/>
      <c r="Q451" s="50" t="n"/>
      <c r="U451" s="50" t="n"/>
    </row>
    <row r="452" ht="15" customHeight="1" s="37">
      <c r="C452" s="48" t="n"/>
      <c r="N452" s="49" t="n"/>
      <c r="O452" s="49" t="n"/>
      <c r="Q452" s="50" t="n"/>
      <c r="U452" s="50" t="n"/>
    </row>
    <row r="453" ht="15" customHeight="1" s="37">
      <c r="C453" s="48" t="n"/>
      <c r="N453" s="49" t="n"/>
      <c r="O453" s="49" t="n"/>
      <c r="Q453" s="50" t="n"/>
      <c r="U453" s="50" t="n"/>
    </row>
    <row r="454" ht="15" customHeight="1" s="37">
      <c r="C454" s="48" t="n"/>
      <c r="N454" s="49" t="n"/>
      <c r="O454" s="49" t="n"/>
      <c r="Q454" s="50" t="n"/>
      <c r="U454" s="50" t="n"/>
    </row>
    <row r="455" ht="15" customHeight="1" s="37">
      <c r="C455" s="48" t="n"/>
      <c r="N455" s="49" t="n"/>
      <c r="O455" s="49" t="n"/>
      <c r="Q455" s="50" t="n"/>
      <c r="U455" s="50" t="n"/>
    </row>
    <row r="456" ht="15" customHeight="1" s="37">
      <c r="C456" s="48" t="n"/>
      <c r="N456" s="49" t="n"/>
      <c r="O456" s="49" t="n"/>
      <c r="Q456" s="50" t="n"/>
      <c r="U456" s="50" t="n"/>
    </row>
    <row r="457" ht="15" customHeight="1" s="37">
      <c r="C457" s="48" t="n"/>
      <c r="N457" s="49" t="n"/>
      <c r="O457" s="49" t="n"/>
      <c r="Q457" s="50" t="n"/>
      <c r="U457" s="50" t="n"/>
    </row>
    <row r="458" ht="15" customHeight="1" s="37">
      <c r="C458" s="48" t="n"/>
      <c r="N458" s="49" t="n"/>
      <c r="O458" s="49" t="n"/>
      <c r="Q458" s="50" t="n"/>
      <c r="U458" s="50" t="n"/>
    </row>
    <row r="459" ht="15" customHeight="1" s="37">
      <c r="C459" s="48" t="n"/>
      <c r="N459" s="49" t="n"/>
      <c r="O459" s="49" t="n"/>
      <c r="Q459" s="50" t="n"/>
      <c r="U459" s="50" t="n"/>
    </row>
    <row r="460" ht="15" customHeight="1" s="37">
      <c r="C460" s="48" t="n"/>
      <c r="N460" s="49" t="n"/>
      <c r="O460" s="49" t="n"/>
      <c r="Q460" s="50" t="n"/>
      <c r="U460" s="50" t="n"/>
    </row>
    <row r="461" ht="15" customHeight="1" s="37">
      <c r="C461" s="48" t="n"/>
      <c r="N461" s="49" t="n"/>
      <c r="O461" s="49" t="n"/>
      <c r="Q461" s="50" t="n"/>
      <c r="U461" s="50" t="n"/>
    </row>
    <row r="462" ht="15" customHeight="1" s="37">
      <c r="C462" s="48" t="n"/>
      <c r="N462" s="49" t="n"/>
      <c r="O462" s="49" t="n"/>
      <c r="Q462" s="50" t="n"/>
      <c r="U462" s="50" t="n"/>
    </row>
    <row r="463" ht="15" customHeight="1" s="37">
      <c r="C463" s="48" t="n"/>
      <c r="N463" s="49" t="n"/>
      <c r="O463" s="49" t="n"/>
      <c r="Q463" s="50" t="n"/>
      <c r="U463" s="50" t="n"/>
    </row>
    <row r="464" ht="15" customHeight="1" s="37">
      <c r="C464" s="48" t="n"/>
      <c r="N464" s="49" t="n"/>
      <c r="O464" s="49" t="n"/>
      <c r="Q464" s="50" t="n"/>
      <c r="U464" s="50" t="n"/>
    </row>
    <row r="465" ht="15" customHeight="1" s="37">
      <c r="C465" s="48" t="n"/>
      <c r="N465" s="49" t="n"/>
      <c r="O465" s="49" t="n"/>
      <c r="Q465" s="50" t="n"/>
      <c r="U465" s="50" t="n"/>
    </row>
    <row r="466" ht="15" customHeight="1" s="37">
      <c r="C466" s="48" t="n"/>
      <c r="N466" s="49" t="n"/>
      <c r="O466" s="49" t="n"/>
      <c r="Q466" s="50" t="n"/>
      <c r="U466" s="50" t="n"/>
    </row>
    <row r="467" ht="15" customHeight="1" s="37">
      <c r="C467" s="48" t="n"/>
      <c r="N467" s="49" t="n"/>
      <c r="O467" s="49" t="n"/>
      <c r="Q467" s="50" t="n"/>
      <c r="U467" s="50" t="n"/>
    </row>
    <row r="468" ht="15" customHeight="1" s="37">
      <c r="C468" s="48" t="n"/>
      <c r="N468" s="49" t="n"/>
      <c r="O468" s="49" t="n"/>
      <c r="Q468" s="50" t="n"/>
      <c r="U468" s="50" t="n"/>
    </row>
    <row r="469" ht="15" customHeight="1" s="37">
      <c r="C469" s="48" t="n"/>
      <c r="N469" s="49" t="n"/>
      <c r="O469" s="49" t="n"/>
      <c r="Q469" s="50" t="n"/>
      <c r="U469" s="50" t="n"/>
    </row>
    <row r="470" ht="15" customHeight="1" s="37">
      <c r="C470" s="48" t="n"/>
      <c r="N470" s="49" t="n"/>
      <c r="O470" s="49" t="n"/>
      <c r="Q470" s="50" t="n"/>
      <c r="U470" s="50" t="n"/>
    </row>
    <row r="471" ht="15" customHeight="1" s="37">
      <c r="C471" s="48" t="n"/>
      <c r="N471" s="49" t="n"/>
      <c r="O471" s="49" t="n"/>
      <c r="Q471" s="50" t="n"/>
      <c r="U471" s="50" t="n"/>
    </row>
    <row r="472" ht="15" customHeight="1" s="37">
      <c r="C472" s="48" t="n"/>
      <c r="N472" s="49" t="n"/>
      <c r="O472" s="49" t="n"/>
      <c r="Q472" s="50" t="n"/>
      <c r="U472" s="50" t="n"/>
    </row>
    <row r="473" ht="15" customHeight="1" s="37">
      <c r="C473" s="48" t="n"/>
      <c r="N473" s="49" t="n"/>
      <c r="O473" s="49" t="n"/>
      <c r="Q473" s="50" t="n"/>
      <c r="U473" s="50" t="n"/>
    </row>
    <row r="474" ht="15" customHeight="1" s="37">
      <c r="C474" s="48" t="n"/>
      <c r="N474" s="49" t="n"/>
      <c r="O474" s="49" t="n"/>
      <c r="Q474" s="50" t="n"/>
      <c r="U474" s="50" t="n"/>
    </row>
    <row r="475" ht="15" customHeight="1" s="37">
      <c r="C475" s="48" t="n"/>
      <c r="N475" s="49" t="n"/>
      <c r="O475" s="49" t="n"/>
      <c r="Q475" s="50" t="n"/>
      <c r="U475" s="50" t="n"/>
    </row>
    <row r="476" ht="15" customHeight="1" s="37">
      <c r="C476" s="48" t="n"/>
      <c r="N476" s="49" t="n"/>
      <c r="O476" s="49" t="n"/>
      <c r="Q476" s="50" t="n"/>
      <c r="U476" s="50" t="n"/>
    </row>
    <row r="477" ht="15" customHeight="1" s="37">
      <c r="C477" s="48" t="n"/>
      <c r="N477" s="49" t="n"/>
      <c r="O477" s="49" t="n"/>
      <c r="Q477" s="50" t="n"/>
      <c r="U477" s="50" t="n"/>
    </row>
    <row r="478" ht="15" customHeight="1" s="37">
      <c r="C478" s="48" t="n"/>
      <c r="N478" s="49" t="n"/>
      <c r="O478" s="49" t="n"/>
      <c r="Q478" s="50" t="n"/>
      <c r="U478" s="50" t="n"/>
    </row>
    <row r="479" ht="15" customHeight="1" s="37">
      <c r="C479" s="48" t="n"/>
      <c r="N479" s="49" t="n"/>
      <c r="O479" s="49" t="n"/>
      <c r="Q479" s="50" t="n"/>
      <c r="U479" s="50" t="n"/>
    </row>
    <row r="480" ht="15" customHeight="1" s="37">
      <c r="C480" s="48" t="n"/>
      <c r="N480" s="49" t="n"/>
      <c r="O480" s="49" t="n"/>
      <c r="Q480" s="50" t="n"/>
      <c r="U480" s="50" t="n"/>
    </row>
    <row r="481" ht="15" customHeight="1" s="37">
      <c r="C481" s="48" t="n"/>
      <c r="N481" s="49" t="n"/>
      <c r="O481" s="49" t="n"/>
      <c r="Q481" s="50" t="n"/>
      <c r="U481" s="50" t="n"/>
    </row>
    <row r="482" ht="15" customHeight="1" s="37">
      <c r="C482" s="48" t="n"/>
      <c r="N482" s="49" t="n"/>
      <c r="O482" s="49" t="n"/>
      <c r="Q482" s="50" t="n"/>
      <c r="U482" s="50" t="n"/>
    </row>
    <row r="483" ht="15" customHeight="1" s="37">
      <c r="C483" s="48" t="n"/>
      <c r="N483" s="49" t="n"/>
      <c r="O483" s="49" t="n"/>
      <c r="Q483" s="50" t="n"/>
      <c r="U483" s="50" t="n"/>
    </row>
    <row r="484" ht="15" customHeight="1" s="37">
      <c r="C484" s="48" t="n"/>
      <c r="N484" s="49" t="n"/>
      <c r="O484" s="49" t="n"/>
      <c r="Q484" s="50" t="n"/>
      <c r="U484" s="50" t="n"/>
    </row>
    <row r="485" ht="15" customHeight="1" s="37">
      <c r="C485" s="48" t="n"/>
      <c r="N485" s="49" t="n"/>
      <c r="O485" s="49" t="n"/>
      <c r="Q485" s="50" t="n"/>
      <c r="U485" s="50" t="n"/>
    </row>
    <row r="486" ht="15" customHeight="1" s="37">
      <c r="C486" s="48" t="n"/>
      <c r="N486" s="49" t="n"/>
      <c r="O486" s="49" t="n"/>
      <c r="Q486" s="50" t="n"/>
      <c r="U486" s="50" t="n"/>
    </row>
    <row r="487" ht="15" customHeight="1" s="37">
      <c r="C487" s="48" t="n"/>
      <c r="N487" s="49" t="n"/>
      <c r="O487" s="49" t="n"/>
      <c r="Q487" s="50" t="n"/>
      <c r="U487" s="50" t="n"/>
    </row>
    <row r="488" ht="15" customHeight="1" s="37">
      <c r="C488" s="48" t="n"/>
      <c r="N488" s="49" t="n"/>
      <c r="O488" s="49" t="n"/>
      <c r="Q488" s="50" t="n"/>
      <c r="U488" s="50" t="n"/>
    </row>
    <row r="489" ht="15" customHeight="1" s="37">
      <c r="C489" s="48" t="n"/>
      <c r="N489" s="49" t="n"/>
      <c r="O489" s="49" t="n"/>
      <c r="Q489" s="50" t="n"/>
      <c r="U489" s="50" t="n"/>
    </row>
    <row r="490" ht="15" customHeight="1" s="37">
      <c r="C490" s="48" t="n"/>
      <c r="N490" s="49" t="n"/>
      <c r="O490" s="49" t="n"/>
      <c r="Q490" s="50" t="n"/>
      <c r="U490" s="50" t="n"/>
    </row>
    <row r="491" ht="15" customHeight="1" s="37">
      <c r="C491" s="48" t="n"/>
      <c r="N491" s="49" t="n"/>
      <c r="O491" s="49" t="n"/>
      <c r="Q491" s="50" t="n"/>
      <c r="U491" s="50" t="n"/>
    </row>
    <row r="492" ht="15" customHeight="1" s="37">
      <c r="C492" s="48" t="n"/>
      <c r="N492" s="49" t="n"/>
      <c r="O492" s="49" t="n"/>
      <c r="Q492" s="50" t="n"/>
      <c r="U492" s="50" t="n"/>
    </row>
    <row r="493" ht="15" customHeight="1" s="37">
      <c r="C493" s="48" t="n"/>
      <c r="N493" s="49" t="n"/>
      <c r="O493" s="49" t="n"/>
      <c r="Q493" s="50" t="n"/>
      <c r="U493" s="50" t="n"/>
    </row>
    <row r="494" ht="15" customHeight="1" s="37">
      <c r="C494" s="48" t="n"/>
      <c r="N494" s="49" t="n"/>
      <c r="O494" s="49" t="n"/>
      <c r="Q494" s="50" t="n"/>
      <c r="U494" s="50" t="n"/>
    </row>
    <row r="495" ht="15" customHeight="1" s="37">
      <c r="C495" s="48" t="n"/>
      <c r="N495" s="49" t="n"/>
      <c r="O495" s="49" t="n"/>
      <c r="Q495" s="50" t="n"/>
      <c r="U495" s="50" t="n"/>
    </row>
    <row r="496" ht="15" customHeight="1" s="37">
      <c r="C496" s="48" t="n"/>
      <c r="N496" s="49" t="n"/>
      <c r="O496" s="49" t="n"/>
      <c r="Q496" s="50" t="n"/>
      <c r="U496" s="50" t="n"/>
    </row>
    <row r="497" ht="15" customHeight="1" s="37">
      <c r="C497" s="48" t="n"/>
      <c r="N497" s="49" t="n"/>
      <c r="O497" s="49" t="n"/>
      <c r="Q497" s="50" t="n"/>
      <c r="U497" s="50" t="n"/>
    </row>
    <row r="498" ht="15" customHeight="1" s="37">
      <c r="C498" s="48" t="n"/>
      <c r="N498" s="49" t="n"/>
      <c r="O498" s="49" t="n"/>
      <c r="Q498" s="50" t="n"/>
      <c r="U498" s="50" t="n"/>
    </row>
    <row r="499" ht="15" customHeight="1" s="37">
      <c r="C499" s="48" t="n"/>
      <c r="N499" s="49" t="n"/>
      <c r="O499" s="49" t="n"/>
      <c r="Q499" s="50" t="n"/>
      <c r="U499" s="50" t="n"/>
    </row>
    <row r="500" ht="15" customHeight="1" s="37">
      <c r="C500" s="48" t="n"/>
      <c r="N500" s="49" t="n"/>
      <c r="O500" s="49" t="n"/>
      <c r="Q500" s="50" t="n"/>
      <c r="U500" s="50" t="n"/>
    </row>
    <row r="501" ht="15" customHeight="1" s="37">
      <c r="C501" s="48" t="n"/>
      <c r="N501" s="49" t="n"/>
      <c r="O501" s="49" t="n"/>
      <c r="Q501" s="50" t="n"/>
      <c r="U501" s="50" t="n"/>
    </row>
    <row r="502" ht="15" customHeight="1" s="37">
      <c r="C502" s="48" t="n"/>
      <c r="N502" s="49" t="n"/>
      <c r="O502" s="49" t="n"/>
      <c r="Q502" s="50" t="n"/>
      <c r="U502" s="50" t="n"/>
    </row>
    <row r="503" ht="15" customHeight="1" s="37">
      <c r="C503" s="48" t="n"/>
      <c r="N503" s="49" t="n"/>
      <c r="O503" s="49" t="n"/>
      <c r="Q503" s="50" t="n"/>
      <c r="U503" s="50" t="n"/>
    </row>
  </sheetData>
  <autoFilter ref="A3:X50000"/>
  <conditionalFormatting sqref="W4:W50000">
    <cfRule type="cellIs" rank="0" priority="2" equalAverage="0" operator="equal" aboveAverage="0" dxfId="4" text="" percent="0" bottom="0">
      <formula>"VALIDEE"</formula>
    </cfRule>
    <cfRule type="cellIs" rank="0" priority="3" equalAverage="0" operator="equal" aboveAverage="0" dxfId="5" text="" percent="0" bottom="0">
      <formula>"REJETEE"</formula>
    </cfRule>
    <cfRule type="cellIs" rank="0" priority="4" equalAverage="0" operator="equal" aboveAverage="0" dxfId="6" text="" percent="0" bottom="0">
      <formula>"A VERIFIER"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6" min="1" max="1"/>
    <col width="18" customWidth="1" style="36" min="2" max="2"/>
    <col width="20" customWidth="1" style="36" min="3" max="3"/>
    <col width="12" customWidth="1" style="36" min="4" max="4"/>
    <col width="14" customWidth="1" style="36" min="5" max="6"/>
    <col width="60" customWidth="1" style="36" min="7" max="7"/>
    <col width="14" customWidth="1" style="36" min="8" max="8"/>
  </cols>
  <sheetData>
    <row r="1" ht="33.75" customHeight="1" s="37">
      <c r="A1" s="46" t="inlineStr">
        <is>
          <t>VÉRIFICATION DES ÉCRITURES REÇUES</t>
        </is>
      </c>
    </row>
    <row r="2" ht="15" customHeight="1" s="37">
      <c r="A2" s="40" t="inlineStr">
        <is>
          <t>Synthèse automatique ; la liste des anomalies est produite par CONTRÔLER LES ÉCRITURES.</t>
        </is>
      </c>
    </row>
    <row r="3" ht="30" customHeight="1" s="37">
      <c r="A3" s="47" t="inlineStr">
        <is>
          <t>État</t>
        </is>
      </c>
      <c r="B3" s="47" t="inlineStr">
        <is>
          <t>Nombre d'écritures</t>
        </is>
      </c>
      <c r="C3" s="47" t="inlineStr">
        <is>
          <t>Montant des sorties</t>
        </is>
      </c>
    </row>
    <row r="4" ht="15" customHeight="1" s="37">
      <c r="A4" s="41" t="inlineStr">
        <is>
          <t>A VERIFIER</t>
        </is>
      </c>
      <c r="B4" s="51">
        <f>COUNTIF(RECEPTION!$W$4:$W$50000,A4)</f>
        <v/>
      </c>
      <c r="C4" s="52">
        <f>SUMIFS(RECEPTION!$O$4:$O$50000,RECEPTION!$W$4:$W$50000,A4)</f>
        <v/>
      </c>
    </row>
    <row r="5" ht="15" customHeight="1" s="37">
      <c r="A5" s="41" t="inlineStr">
        <is>
          <t>VALIDEE</t>
        </is>
      </c>
      <c r="B5" s="51">
        <f>COUNTIF(RECEPTION!$W$4:$W$50000,A5)</f>
        <v/>
      </c>
      <c r="C5" s="52">
        <f>SUMIFS(RECEPTION!$O$4:$O$50000,RECEPTION!$W$4:$W$50000,A5)</f>
        <v/>
      </c>
    </row>
    <row r="6" ht="15" customHeight="1" s="37">
      <c r="A6" s="41" t="inlineStr">
        <is>
          <t>REJETEE</t>
        </is>
      </c>
      <c r="B6" s="51">
        <f>COUNTIF(RECEPTION!$W$4:$W$50000,A6)</f>
        <v/>
      </c>
      <c r="C6" s="52">
        <f>SUMIFS(RECEPTION!$O$4:$O$50000,RECEPTION!$W$4:$W$50000,A6)</f>
        <v/>
      </c>
    </row>
    <row r="7" ht="15" customHeight="1" s="37">
      <c r="A7" s="41" t="inlineStr">
        <is>
          <t>Écritures avec anomalie</t>
        </is>
      </c>
      <c r="B7" s="53">
        <f>COUNTIFS(RECEPTION!$W$4:$W$50000,"A VERIFIER",RECEPTION!$X$4:$X$50000,"&lt;&gt;",RECEPTION!$X$4:$X$50000,"&lt;&gt;Aucune anomalie")</f>
        <v/>
      </c>
    </row>
    <row r="9" ht="30" customHeight="1" s="37">
      <c r="A9" s="47" t="inlineStr">
        <is>
          <t>ID_ECRITURE</t>
        </is>
      </c>
      <c r="B9" s="47" t="inlineStr">
        <is>
          <t>Service</t>
        </is>
      </c>
      <c r="C9" s="47" t="inlineStr">
        <is>
          <t>N°</t>
        </is>
      </c>
      <c r="D9" s="47" t="inlineStr">
        <is>
          <t>Date</t>
        </is>
      </c>
      <c r="E9" s="47" t="inlineStr">
        <is>
          <t>Entrée</t>
        </is>
      </c>
      <c r="F9" s="47" t="inlineStr">
        <is>
          <t>Sortie</t>
        </is>
      </c>
      <c r="G9" s="47" t="inlineStr">
        <is>
          <t>Anomalie(s)</t>
        </is>
      </c>
      <c r="H9" s="47" t="inlineStr">
        <is>
          <t>Ligne RECEPTION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Q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36" min="1" max="1"/>
    <col width="16" customWidth="1" style="36" min="2" max="7"/>
    <col width="12" customWidth="1" style="36" min="8" max="8"/>
    <col width="16" customWidth="1" style="36" min="9" max="9"/>
    <col width="11" customWidth="1" style="36" min="10" max="11"/>
    <col width="18" customWidth="1" style="36" min="12" max="12"/>
    <col width="32" customWidth="1" style="36" min="14" max="14"/>
    <col width="16" customWidth="1" style="36" min="15" max="17"/>
  </cols>
  <sheetData>
    <row r="1" ht="33.75" customHeight="1" s="37">
      <c r="A1" s="46" t="inlineStr">
        <is>
          <t>CONSOLIDATION PAR SERVICE (écritures VALIDEE uniquement, CDF)</t>
        </is>
      </c>
    </row>
    <row r="3" ht="30" customHeight="1" s="37">
      <c r="A3" s="47" t="inlineStr">
        <is>
          <t>Service</t>
        </is>
      </c>
      <c r="B3" s="47" t="inlineStr">
        <is>
          <t>Budget annuel</t>
        </is>
      </c>
      <c r="C3" s="47" t="inlineStr">
        <is>
          <t>Entrées</t>
        </is>
      </c>
      <c r="D3" s="47" t="inlineStr">
        <is>
          <t>Sorties payées</t>
        </is>
      </c>
      <c r="E3" s="47" t="inlineStr">
        <is>
          <t>Engagements</t>
        </is>
      </c>
      <c r="F3" s="47" t="inlineStr">
        <is>
          <t>Total consommé</t>
        </is>
      </c>
      <c r="G3" s="47" t="inlineStr">
        <is>
          <t>Disponible</t>
        </is>
      </c>
      <c r="H3" s="47" t="inlineStr">
        <is>
          <t>Taux d'exécution</t>
        </is>
      </c>
      <c r="I3" s="47" t="inlineStr">
        <is>
          <t>Solde de caisse</t>
        </is>
      </c>
      <c r="J3" s="47" t="inlineStr">
        <is>
          <t>À vérifier</t>
        </is>
      </c>
      <c r="K3" s="47" t="inlineStr">
        <is>
          <t>Rejetées</t>
        </is>
      </c>
      <c r="L3" s="47" t="inlineStr">
        <is>
          <t>Dernier import reçu</t>
        </is>
      </c>
      <c r="N3" s="47" t="inlineStr">
        <is>
          <t>Catégorie</t>
        </is>
      </c>
      <c r="O3" s="47" t="inlineStr">
        <is>
          <t>Sorties payées</t>
        </is>
      </c>
      <c r="P3" s="47" t="inlineStr">
        <is>
          <t>Engagements</t>
        </is>
      </c>
      <c r="Q3" s="47" t="inlineStr">
        <is>
          <t>Total</t>
        </is>
      </c>
    </row>
    <row r="4" ht="15" customHeight="1" s="37">
      <c r="A4" s="54" t="inlineStr">
        <is>
          <t>TOTAL</t>
        </is>
      </c>
      <c r="B4" s="55">
        <f>SUM(B5:B44)</f>
        <v/>
      </c>
      <c r="C4" s="55">
        <f>SUM(C5:C44)</f>
        <v/>
      </c>
      <c r="D4" s="55">
        <f>SUM(D5:D44)</f>
        <v/>
      </c>
      <c r="E4" s="55">
        <f>SUM(E5:E44)</f>
        <v/>
      </c>
      <c r="F4" s="55">
        <f>SUM(F5:F44)</f>
        <v/>
      </c>
      <c r="G4" s="55">
        <f>SUM(G5:G44)</f>
        <v/>
      </c>
      <c r="H4" s="56">
        <f>IF(B4=0,"",F4/B4)</f>
        <v/>
      </c>
      <c r="I4" s="55">
        <f>SUM(I5:I44)</f>
        <v/>
      </c>
      <c r="J4" s="57">
        <f>SUM(J5:J44)</f>
        <v/>
      </c>
      <c r="K4" s="57">
        <f>SUM(K5:K44)</f>
        <v/>
      </c>
      <c r="L4" s="58" t="n"/>
      <c r="N4" s="54" t="inlineStr">
        <is>
          <t>TOTAL</t>
        </is>
      </c>
      <c r="O4" s="55">
        <f>SUM(O5:O24)</f>
        <v/>
      </c>
      <c r="P4" s="55">
        <f>SUM(P5:P24)</f>
        <v/>
      </c>
      <c r="Q4" s="55">
        <f>SUM(Q5:Q24)</f>
        <v/>
      </c>
    </row>
    <row r="5" ht="15" customHeight="1" s="37">
      <c r="A5" s="59">
        <f>IF(PARAMETRES!E4="","",PARAMETRES!E4)</f>
        <v/>
      </c>
      <c r="B5" s="52">
        <f>IF(A5="","",SUMIFS(BUDGETS_SERVICES!$E$4:$E$20000,BUDGETS_SERVICES!$A$4:$A$20000,A5))</f>
        <v/>
      </c>
      <c r="C5" s="52">
        <f>IF(A5="","",SUMIFS(RECEPTION!$N$4:$N$50000,RECEPTION!$F$4:$F$50000,A5,RECEPTION!$W$4:$W$50000,"VALIDEE"))</f>
        <v/>
      </c>
      <c r="D5" s="52">
        <f>IF(A5="","",SUMIFS(RECEPTION!$O$4:$O$50000,RECEPTION!$F$4:$F$50000,A5,RECEPTION!$M$4:$M$50000,"Payée",RECEPTION!$W$4:$W$50000,"VALIDEE"))</f>
        <v/>
      </c>
      <c r="E5" s="52">
        <f>IF(A5="","",SUMIFS(RECEPTION!$O$4:$O$50000,RECEPTION!$F$4:$F$50000,A5,RECEPTION!$M$4:$M$50000,"Engagée",RECEPTION!$W$4:$W$50000,"VALIDEE"))</f>
        <v/>
      </c>
      <c r="F5" s="52">
        <f>IF(A5="","",D5+E5)</f>
        <v/>
      </c>
      <c r="G5" s="52">
        <f>IF(A5="","",B5-F5)</f>
        <v/>
      </c>
      <c r="H5" s="60">
        <f>IF(OR(A5="",N(B5)=0),"",F5/B5)</f>
        <v/>
      </c>
      <c r="I5" s="52">
        <f>IF(A5="","",C5-D5)</f>
        <v/>
      </c>
      <c r="J5" s="51">
        <f>IF(A5="","",COUNTIFS(RECEPTION!$F$4:$F$50000,A5,RECEPTION!$W$4:$W$50000,"A VERIFIER"))</f>
        <v/>
      </c>
      <c r="K5" s="51">
        <f>IF(A5="","",COUNTIFS(RECEPTION!$F$4:$F$50000,A5,RECEPTION!$W$4:$W$50000,"REJETEE"))</f>
        <v/>
      </c>
      <c r="L5" s="61">
        <f>IF(A5="","",IF(_xlfn.MAXIFS(JOURNAL_IMPORTS!$A$4:$A$5000,JOURNAL_IMPORTS!$C$4:$C$5000,A5)=0,"Aucune",_xlfn.MAXIFS(JOURNAL_IMPORTS!$A$4:$A$5000,JOURNAL_IMPORTS!$C$4:$C$5000,A5)))</f>
        <v/>
      </c>
      <c r="N5" s="59">
        <f>IF(PARAMETRES!L4="","",PARAMETRES!L4)</f>
        <v/>
      </c>
      <c r="O5" s="52">
        <f>IF(N5="","",SUMIFS(RECEPTION!$O$4:$O$50000,RECEPTION!$H$4:$H$50000,N5,RECEPTION!$M$4:$M$50000,"Payée",RECEPTION!$W$4:$W$50000,"VALIDEE"))</f>
        <v/>
      </c>
      <c r="P5" s="52">
        <f>IF(N5="","",SUMIFS(RECEPTION!$O$4:$O$50000,RECEPTION!$H$4:$H$50000,N5,RECEPTION!$M$4:$M$50000,"Engagée",RECEPTION!$W$4:$W$50000,"VALIDEE"))</f>
        <v/>
      </c>
      <c r="Q5" s="52">
        <f>IF(N5="","",O5+P5)</f>
        <v/>
      </c>
    </row>
    <row r="6" ht="15" customHeight="1" s="37">
      <c r="A6" s="59">
        <f>IF(PARAMETRES!E5="","",PARAMETRES!E5)</f>
        <v/>
      </c>
      <c r="B6" s="52">
        <f>IF(A6="","",SUMIFS(BUDGETS_SERVICES!$E$4:$E$20000,BUDGETS_SERVICES!$A$4:$A$20000,A6))</f>
        <v/>
      </c>
      <c r="C6" s="52">
        <f>IF(A6="","",SUMIFS(RECEPTION!$N$4:$N$50000,RECEPTION!$F$4:$F$50000,A6,RECEPTION!$W$4:$W$50000,"VALIDEE"))</f>
        <v/>
      </c>
      <c r="D6" s="52">
        <f>IF(A6="","",SUMIFS(RECEPTION!$O$4:$O$50000,RECEPTION!$F$4:$F$50000,A6,RECEPTION!$M$4:$M$50000,"Payée",RECEPTION!$W$4:$W$50000,"VALIDEE"))</f>
        <v/>
      </c>
      <c r="E6" s="52">
        <f>IF(A6="","",SUMIFS(RECEPTION!$O$4:$O$50000,RECEPTION!$F$4:$F$50000,A6,RECEPTION!$M$4:$M$50000,"Engagée",RECEPTION!$W$4:$W$50000,"VALIDEE"))</f>
        <v/>
      </c>
      <c r="F6" s="52">
        <f>IF(A6="","",D6+E6)</f>
        <v/>
      </c>
      <c r="G6" s="52">
        <f>IF(A6="","",B6-F6)</f>
        <v/>
      </c>
      <c r="H6" s="60">
        <f>IF(OR(A6="",N(B6)=0),"",F6/B6)</f>
        <v/>
      </c>
      <c r="I6" s="52">
        <f>IF(A6="","",C6-D6)</f>
        <v/>
      </c>
      <c r="J6" s="51">
        <f>IF(A6="","",COUNTIFS(RECEPTION!$F$4:$F$50000,A6,RECEPTION!$W$4:$W$50000,"A VERIFIER"))</f>
        <v/>
      </c>
      <c r="K6" s="51">
        <f>IF(A6="","",COUNTIFS(RECEPTION!$F$4:$F$50000,A6,RECEPTION!$W$4:$W$50000,"REJETEE"))</f>
        <v/>
      </c>
      <c r="L6" s="61">
        <f>IF(A6="","",IF(_xlfn.MAXIFS(JOURNAL_IMPORTS!$A$4:$A$5000,JOURNAL_IMPORTS!$C$4:$C$5000,A6)=0,"Aucune",_xlfn.MAXIFS(JOURNAL_IMPORTS!$A$4:$A$5000,JOURNAL_IMPORTS!$C$4:$C$5000,A6)))</f>
        <v/>
      </c>
      <c r="N6" s="59">
        <f>IF(PARAMETRES!L5="","",PARAMETRES!L5)</f>
        <v/>
      </c>
      <c r="O6" s="52">
        <f>IF(N6="","",SUMIFS(RECEPTION!$O$4:$O$50000,RECEPTION!$H$4:$H$50000,N6,RECEPTION!$M$4:$M$50000,"Payée",RECEPTION!$W$4:$W$50000,"VALIDEE"))</f>
        <v/>
      </c>
      <c r="P6" s="52">
        <f>IF(N6="","",SUMIFS(RECEPTION!$O$4:$O$50000,RECEPTION!$H$4:$H$50000,N6,RECEPTION!$M$4:$M$50000,"Engagée",RECEPTION!$W$4:$W$50000,"VALIDEE"))</f>
        <v/>
      </c>
      <c r="Q6" s="52">
        <f>IF(N6="","",O6+P6)</f>
        <v/>
      </c>
    </row>
    <row r="7" ht="15" customHeight="1" s="37">
      <c r="A7" s="59">
        <f>IF(PARAMETRES!E6="","",PARAMETRES!E6)</f>
        <v/>
      </c>
      <c r="B7" s="52">
        <f>IF(A7="","",SUMIFS(BUDGETS_SERVICES!$E$4:$E$20000,BUDGETS_SERVICES!$A$4:$A$20000,A7))</f>
        <v/>
      </c>
      <c r="C7" s="52">
        <f>IF(A7="","",SUMIFS(RECEPTION!$N$4:$N$50000,RECEPTION!$F$4:$F$50000,A7,RECEPTION!$W$4:$W$50000,"VALIDEE"))</f>
        <v/>
      </c>
      <c r="D7" s="52">
        <f>IF(A7="","",SUMIFS(RECEPTION!$O$4:$O$50000,RECEPTION!$F$4:$F$50000,A7,RECEPTION!$M$4:$M$50000,"Payée",RECEPTION!$W$4:$W$50000,"VALIDEE"))</f>
        <v/>
      </c>
      <c r="E7" s="52">
        <f>IF(A7="","",SUMIFS(RECEPTION!$O$4:$O$50000,RECEPTION!$F$4:$F$50000,A7,RECEPTION!$M$4:$M$50000,"Engagée",RECEPTION!$W$4:$W$50000,"VALIDEE"))</f>
        <v/>
      </c>
      <c r="F7" s="52">
        <f>IF(A7="","",D7+E7)</f>
        <v/>
      </c>
      <c r="G7" s="52">
        <f>IF(A7="","",B7-F7)</f>
        <v/>
      </c>
      <c r="H7" s="60">
        <f>IF(OR(A7="",N(B7)=0),"",F7/B7)</f>
        <v/>
      </c>
      <c r="I7" s="52">
        <f>IF(A7="","",C7-D7)</f>
        <v/>
      </c>
      <c r="J7" s="51">
        <f>IF(A7="","",COUNTIFS(RECEPTION!$F$4:$F$50000,A7,RECEPTION!$W$4:$W$50000,"A VERIFIER"))</f>
        <v/>
      </c>
      <c r="K7" s="51">
        <f>IF(A7="","",COUNTIFS(RECEPTION!$F$4:$F$50000,A7,RECEPTION!$W$4:$W$50000,"REJETEE"))</f>
        <v/>
      </c>
      <c r="L7" s="61">
        <f>IF(A7="","",IF(_xlfn.MAXIFS(JOURNAL_IMPORTS!$A$4:$A$5000,JOURNAL_IMPORTS!$C$4:$C$5000,A7)=0,"Aucune",_xlfn.MAXIFS(JOURNAL_IMPORTS!$A$4:$A$5000,JOURNAL_IMPORTS!$C$4:$C$5000,A7)))</f>
        <v/>
      </c>
      <c r="N7" s="59">
        <f>IF(PARAMETRES!L6="","",PARAMETRES!L6)</f>
        <v/>
      </c>
      <c r="O7" s="52">
        <f>IF(N7="","",SUMIFS(RECEPTION!$O$4:$O$50000,RECEPTION!$H$4:$H$50000,N7,RECEPTION!$M$4:$M$50000,"Payée",RECEPTION!$W$4:$W$50000,"VALIDEE"))</f>
        <v/>
      </c>
      <c r="P7" s="52">
        <f>IF(N7="","",SUMIFS(RECEPTION!$O$4:$O$50000,RECEPTION!$H$4:$H$50000,N7,RECEPTION!$M$4:$M$50000,"Engagée",RECEPTION!$W$4:$W$50000,"VALIDEE"))</f>
        <v/>
      </c>
      <c r="Q7" s="52">
        <f>IF(N7="","",O7+P7)</f>
        <v/>
      </c>
    </row>
    <row r="8" ht="15" customHeight="1" s="37">
      <c r="A8" s="59">
        <f>IF(PARAMETRES!E7="","",PARAMETRES!E7)</f>
        <v/>
      </c>
      <c r="B8" s="52">
        <f>IF(A8="","",SUMIFS(BUDGETS_SERVICES!$E$4:$E$20000,BUDGETS_SERVICES!$A$4:$A$20000,A8))</f>
        <v/>
      </c>
      <c r="C8" s="52">
        <f>IF(A8="","",SUMIFS(RECEPTION!$N$4:$N$50000,RECEPTION!$F$4:$F$50000,A8,RECEPTION!$W$4:$W$50000,"VALIDEE"))</f>
        <v/>
      </c>
      <c r="D8" s="52">
        <f>IF(A8="","",SUMIFS(RECEPTION!$O$4:$O$50000,RECEPTION!$F$4:$F$50000,A8,RECEPTION!$M$4:$M$50000,"Payée",RECEPTION!$W$4:$W$50000,"VALIDEE"))</f>
        <v/>
      </c>
      <c r="E8" s="52">
        <f>IF(A8="","",SUMIFS(RECEPTION!$O$4:$O$50000,RECEPTION!$F$4:$F$50000,A8,RECEPTION!$M$4:$M$50000,"Engagée",RECEPTION!$W$4:$W$50000,"VALIDEE"))</f>
        <v/>
      </c>
      <c r="F8" s="52">
        <f>IF(A8="","",D8+E8)</f>
        <v/>
      </c>
      <c r="G8" s="52">
        <f>IF(A8="","",B8-F8)</f>
        <v/>
      </c>
      <c r="H8" s="60">
        <f>IF(OR(A8="",N(B8)=0),"",F8/B8)</f>
        <v/>
      </c>
      <c r="I8" s="52">
        <f>IF(A8="","",C8-D8)</f>
        <v/>
      </c>
      <c r="J8" s="51">
        <f>IF(A8="","",COUNTIFS(RECEPTION!$F$4:$F$50000,A8,RECEPTION!$W$4:$W$50000,"A VERIFIER"))</f>
        <v/>
      </c>
      <c r="K8" s="51">
        <f>IF(A8="","",COUNTIFS(RECEPTION!$F$4:$F$50000,A8,RECEPTION!$W$4:$W$50000,"REJETEE"))</f>
        <v/>
      </c>
      <c r="L8" s="61">
        <f>IF(A8="","",IF(_xlfn.MAXIFS(JOURNAL_IMPORTS!$A$4:$A$5000,JOURNAL_IMPORTS!$C$4:$C$5000,A8)=0,"Aucune",_xlfn.MAXIFS(JOURNAL_IMPORTS!$A$4:$A$5000,JOURNAL_IMPORTS!$C$4:$C$5000,A8)))</f>
        <v/>
      </c>
      <c r="N8" s="59">
        <f>IF(PARAMETRES!L7="","",PARAMETRES!L7)</f>
        <v/>
      </c>
      <c r="O8" s="52">
        <f>IF(N8="","",SUMIFS(RECEPTION!$O$4:$O$50000,RECEPTION!$H$4:$H$50000,N8,RECEPTION!$M$4:$M$50000,"Payée",RECEPTION!$W$4:$W$50000,"VALIDEE"))</f>
        <v/>
      </c>
      <c r="P8" s="52">
        <f>IF(N8="","",SUMIFS(RECEPTION!$O$4:$O$50000,RECEPTION!$H$4:$H$50000,N8,RECEPTION!$M$4:$M$50000,"Engagée",RECEPTION!$W$4:$W$50000,"VALIDEE"))</f>
        <v/>
      </c>
      <c r="Q8" s="52">
        <f>IF(N8="","",O8+P8)</f>
        <v/>
      </c>
    </row>
    <row r="9" ht="15" customHeight="1" s="37">
      <c r="A9" s="59">
        <f>IF(PARAMETRES!E8="","",PARAMETRES!E8)</f>
        <v/>
      </c>
      <c r="B9" s="52">
        <f>IF(A9="","",SUMIFS(BUDGETS_SERVICES!$E$4:$E$20000,BUDGETS_SERVICES!$A$4:$A$20000,A9))</f>
        <v/>
      </c>
      <c r="C9" s="52">
        <f>IF(A9="","",SUMIFS(RECEPTION!$N$4:$N$50000,RECEPTION!$F$4:$F$50000,A9,RECEPTION!$W$4:$W$50000,"VALIDEE"))</f>
        <v/>
      </c>
      <c r="D9" s="52">
        <f>IF(A9="","",SUMIFS(RECEPTION!$O$4:$O$50000,RECEPTION!$F$4:$F$50000,A9,RECEPTION!$M$4:$M$50000,"Payée",RECEPTION!$W$4:$W$50000,"VALIDEE"))</f>
        <v/>
      </c>
      <c r="E9" s="52">
        <f>IF(A9="","",SUMIFS(RECEPTION!$O$4:$O$50000,RECEPTION!$F$4:$F$50000,A9,RECEPTION!$M$4:$M$50000,"Engagée",RECEPTION!$W$4:$W$50000,"VALIDEE"))</f>
        <v/>
      </c>
      <c r="F9" s="52">
        <f>IF(A9="","",D9+E9)</f>
        <v/>
      </c>
      <c r="G9" s="52">
        <f>IF(A9="","",B9-F9)</f>
        <v/>
      </c>
      <c r="H9" s="60">
        <f>IF(OR(A9="",N(B9)=0),"",F9/B9)</f>
        <v/>
      </c>
      <c r="I9" s="52">
        <f>IF(A9="","",C9-D9)</f>
        <v/>
      </c>
      <c r="J9" s="51">
        <f>IF(A9="","",COUNTIFS(RECEPTION!$F$4:$F$50000,A9,RECEPTION!$W$4:$W$50000,"A VERIFIER"))</f>
        <v/>
      </c>
      <c r="K9" s="51">
        <f>IF(A9="","",COUNTIFS(RECEPTION!$F$4:$F$50000,A9,RECEPTION!$W$4:$W$50000,"REJETEE"))</f>
        <v/>
      </c>
      <c r="L9" s="61">
        <f>IF(A9="","",IF(_xlfn.MAXIFS(JOURNAL_IMPORTS!$A$4:$A$5000,JOURNAL_IMPORTS!$C$4:$C$5000,A9)=0,"Aucune",_xlfn.MAXIFS(JOURNAL_IMPORTS!$A$4:$A$5000,JOURNAL_IMPORTS!$C$4:$C$5000,A9)))</f>
        <v/>
      </c>
      <c r="N9" s="59">
        <f>IF(PARAMETRES!L8="","",PARAMETRES!L8)</f>
        <v/>
      </c>
      <c r="O9" s="52">
        <f>IF(N9="","",SUMIFS(RECEPTION!$O$4:$O$50000,RECEPTION!$H$4:$H$50000,N9,RECEPTION!$M$4:$M$50000,"Payée",RECEPTION!$W$4:$W$50000,"VALIDEE"))</f>
        <v/>
      </c>
      <c r="P9" s="52">
        <f>IF(N9="","",SUMIFS(RECEPTION!$O$4:$O$50000,RECEPTION!$H$4:$H$50000,N9,RECEPTION!$M$4:$M$50000,"Engagée",RECEPTION!$W$4:$W$50000,"VALIDEE"))</f>
        <v/>
      </c>
      <c r="Q9" s="52">
        <f>IF(N9="","",O9+P9)</f>
        <v/>
      </c>
    </row>
    <row r="10" ht="15" customHeight="1" s="37">
      <c r="A10" s="59">
        <f>IF(PARAMETRES!E9="","",PARAMETRES!E9)</f>
        <v/>
      </c>
      <c r="B10" s="52">
        <f>IF(A10="","",SUMIFS(BUDGETS_SERVICES!$E$4:$E$20000,BUDGETS_SERVICES!$A$4:$A$20000,A10))</f>
        <v/>
      </c>
      <c r="C10" s="52">
        <f>IF(A10="","",SUMIFS(RECEPTION!$N$4:$N$50000,RECEPTION!$F$4:$F$50000,A10,RECEPTION!$W$4:$W$50000,"VALIDEE"))</f>
        <v/>
      </c>
      <c r="D10" s="52">
        <f>IF(A10="","",SUMIFS(RECEPTION!$O$4:$O$50000,RECEPTION!$F$4:$F$50000,A10,RECEPTION!$M$4:$M$50000,"Payée",RECEPTION!$W$4:$W$50000,"VALIDEE"))</f>
        <v/>
      </c>
      <c r="E10" s="52">
        <f>IF(A10="","",SUMIFS(RECEPTION!$O$4:$O$50000,RECEPTION!$F$4:$F$50000,A10,RECEPTION!$M$4:$M$50000,"Engagée",RECEPTION!$W$4:$W$50000,"VALIDEE"))</f>
        <v/>
      </c>
      <c r="F10" s="52">
        <f>IF(A10="","",D10+E10)</f>
        <v/>
      </c>
      <c r="G10" s="52">
        <f>IF(A10="","",B10-F10)</f>
        <v/>
      </c>
      <c r="H10" s="60">
        <f>IF(OR(A10="",N(B10)=0),"",F10/B10)</f>
        <v/>
      </c>
      <c r="I10" s="52">
        <f>IF(A10="","",C10-D10)</f>
        <v/>
      </c>
      <c r="J10" s="51">
        <f>IF(A10="","",COUNTIFS(RECEPTION!$F$4:$F$50000,A10,RECEPTION!$W$4:$W$50000,"A VERIFIER"))</f>
        <v/>
      </c>
      <c r="K10" s="51">
        <f>IF(A10="","",COUNTIFS(RECEPTION!$F$4:$F$50000,A10,RECEPTION!$W$4:$W$50000,"REJETEE"))</f>
        <v/>
      </c>
      <c r="L10" s="61">
        <f>IF(A10="","",IF(_xlfn.MAXIFS(JOURNAL_IMPORTS!$A$4:$A$5000,JOURNAL_IMPORTS!$C$4:$C$5000,A10)=0,"Aucune",_xlfn.MAXIFS(JOURNAL_IMPORTS!$A$4:$A$5000,JOURNAL_IMPORTS!$C$4:$C$5000,A10)))</f>
        <v/>
      </c>
      <c r="N10" s="59">
        <f>IF(PARAMETRES!L9="","",PARAMETRES!L9)</f>
        <v/>
      </c>
      <c r="O10" s="52">
        <f>IF(N10="","",SUMIFS(RECEPTION!$O$4:$O$50000,RECEPTION!$H$4:$H$50000,N10,RECEPTION!$M$4:$M$50000,"Payée",RECEPTION!$W$4:$W$50000,"VALIDEE"))</f>
        <v/>
      </c>
      <c r="P10" s="52">
        <f>IF(N10="","",SUMIFS(RECEPTION!$O$4:$O$50000,RECEPTION!$H$4:$H$50000,N10,RECEPTION!$M$4:$M$50000,"Engagée",RECEPTION!$W$4:$W$50000,"VALIDEE"))</f>
        <v/>
      </c>
      <c r="Q10" s="52">
        <f>IF(N10="","",O10+P10)</f>
        <v/>
      </c>
    </row>
    <row r="11" ht="15" customHeight="1" s="37">
      <c r="A11" s="59">
        <f>IF(PARAMETRES!E10="","",PARAMETRES!E10)</f>
        <v/>
      </c>
      <c r="B11" s="52">
        <f>IF(A11="","",SUMIFS(BUDGETS_SERVICES!$E$4:$E$20000,BUDGETS_SERVICES!$A$4:$A$20000,A11))</f>
        <v/>
      </c>
      <c r="C11" s="52">
        <f>IF(A11="","",SUMIFS(RECEPTION!$N$4:$N$50000,RECEPTION!$F$4:$F$50000,A11,RECEPTION!$W$4:$W$50000,"VALIDEE"))</f>
        <v/>
      </c>
      <c r="D11" s="52">
        <f>IF(A11="","",SUMIFS(RECEPTION!$O$4:$O$50000,RECEPTION!$F$4:$F$50000,A11,RECEPTION!$M$4:$M$50000,"Payée",RECEPTION!$W$4:$W$50000,"VALIDEE"))</f>
        <v/>
      </c>
      <c r="E11" s="52">
        <f>IF(A11="","",SUMIFS(RECEPTION!$O$4:$O$50000,RECEPTION!$F$4:$F$50000,A11,RECEPTION!$M$4:$M$50000,"Engagée",RECEPTION!$W$4:$W$50000,"VALIDEE"))</f>
        <v/>
      </c>
      <c r="F11" s="52">
        <f>IF(A11="","",D11+E11)</f>
        <v/>
      </c>
      <c r="G11" s="52">
        <f>IF(A11="","",B11-F11)</f>
        <v/>
      </c>
      <c r="H11" s="60">
        <f>IF(OR(A11="",N(B11)=0),"",F11/B11)</f>
        <v/>
      </c>
      <c r="I11" s="52">
        <f>IF(A11="","",C11-D11)</f>
        <v/>
      </c>
      <c r="J11" s="51">
        <f>IF(A11="","",COUNTIFS(RECEPTION!$F$4:$F$50000,A11,RECEPTION!$W$4:$W$50000,"A VERIFIER"))</f>
        <v/>
      </c>
      <c r="K11" s="51">
        <f>IF(A11="","",COUNTIFS(RECEPTION!$F$4:$F$50000,A11,RECEPTION!$W$4:$W$50000,"REJETEE"))</f>
        <v/>
      </c>
      <c r="L11" s="61">
        <f>IF(A11="","",IF(_xlfn.MAXIFS(JOURNAL_IMPORTS!$A$4:$A$5000,JOURNAL_IMPORTS!$C$4:$C$5000,A11)=0,"Aucune",_xlfn.MAXIFS(JOURNAL_IMPORTS!$A$4:$A$5000,JOURNAL_IMPORTS!$C$4:$C$5000,A11)))</f>
        <v/>
      </c>
      <c r="N11" s="59">
        <f>IF(PARAMETRES!L10="","",PARAMETRES!L10)</f>
        <v/>
      </c>
      <c r="O11" s="52">
        <f>IF(N11="","",SUMIFS(RECEPTION!$O$4:$O$50000,RECEPTION!$H$4:$H$50000,N11,RECEPTION!$M$4:$M$50000,"Payée",RECEPTION!$W$4:$W$50000,"VALIDEE"))</f>
        <v/>
      </c>
      <c r="P11" s="52">
        <f>IF(N11="","",SUMIFS(RECEPTION!$O$4:$O$50000,RECEPTION!$H$4:$H$50000,N11,RECEPTION!$M$4:$M$50000,"Engagée",RECEPTION!$W$4:$W$50000,"VALIDEE"))</f>
        <v/>
      </c>
      <c r="Q11" s="52">
        <f>IF(N11="","",O11+P11)</f>
        <v/>
      </c>
    </row>
    <row r="12" ht="15" customHeight="1" s="37">
      <c r="A12" s="59">
        <f>IF(PARAMETRES!E11="","",PARAMETRES!E11)</f>
        <v/>
      </c>
      <c r="B12" s="52">
        <f>IF(A12="","",SUMIFS(BUDGETS_SERVICES!$E$4:$E$20000,BUDGETS_SERVICES!$A$4:$A$20000,A12))</f>
        <v/>
      </c>
      <c r="C12" s="52">
        <f>IF(A12="","",SUMIFS(RECEPTION!$N$4:$N$50000,RECEPTION!$F$4:$F$50000,A12,RECEPTION!$W$4:$W$50000,"VALIDEE"))</f>
        <v/>
      </c>
      <c r="D12" s="52">
        <f>IF(A12="","",SUMIFS(RECEPTION!$O$4:$O$50000,RECEPTION!$F$4:$F$50000,A12,RECEPTION!$M$4:$M$50000,"Payée",RECEPTION!$W$4:$W$50000,"VALIDEE"))</f>
        <v/>
      </c>
      <c r="E12" s="52">
        <f>IF(A12="","",SUMIFS(RECEPTION!$O$4:$O$50000,RECEPTION!$F$4:$F$50000,A12,RECEPTION!$M$4:$M$50000,"Engagée",RECEPTION!$W$4:$W$50000,"VALIDEE"))</f>
        <v/>
      </c>
      <c r="F12" s="52">
        <f>IF(A12="","",D12+E12)</f>
        <v/>
      </c>
      <c r="G12" s="52">
        <f>IF(A12="","",B12-F12)</f>
        <v/>
      </c>
      <c r="H12" s="60">
        <f>IF(OR(A12="",N(B12)=0),"",F12/B12)</f>
        <v/>
      </c>
      <c r="I12" s="52">
        <f>IF(A12="","",C12-D12)</f>
        <v/>
      </c>
      <c r="J12" s="51">
        <f>IF(A12="","",COUNTIFS(RECEPTION!$F$4:$F$50000,A12,RECEPTION!$W$4:$W$50000,"A VERIFIER"))</f>
        <v/>
      </c>
      <c r="K12" s="51">
        <f>IF(A12="","",COUNTIFS(RECEPTION!$F$4:$F$50000,A12,RECEPTION!$W$4:$W$50000,"REJETEE"))</f>
        <v/>
      </c>
      <c r="L12" s="61">
        <f>IF(A12="","",IF(_xlfn.MAXIFS(JOURNAL_IMPORTS!$A$4:$A$5000,JOURNAL_IMPORTS!$C$4:$C$5000,A12)=0,"Aucune",_xlfn.MAXIFS(JOURNAL_IMPORTS!$A$4:$A$5000,JOURNAL_IMPORTS!$C$4:$C$5000,A12)))</f>
        <v/>
      </c>
      <c r="N12" s="59">
        <f>IF(PARAMETRES!L11="","",PARAMETRES!L11)</f>
        <v/>
      </c>
      <c r="O12" s="52">
        <f>IF(N12="","",SUMIFS(RECEPTION!$O$4:$O$50000,RECEPTION!$H$4:$H$50000,N12,RECEPTION!$M$4:$M$50000,"Payée",RECEPTION!$W$4:$W$50000,"VALIDEE"))</f>
        <v/>
      </c>
      <c r="P12" s="52">
        <f>IF(N12="","",SUMIFS(RECEPTION!$O$4:$O$50000,RECEPTION!$H$4:$H$50000,N12,RECEPTION!$M$4:$M$50000,"Engagée",RECEPTION!$W$4:$W$50000,"VALIDEE"))</f>
        <v/>
      </c>
      <c r="Q12" s="52">
        <f>IF(N12="","",O12+P12)</f>
        <v/>
      </c>
    </row>
    <row r="13" ht="15" customHeight="1" s="37">
      <c r="A13" s="59">
        <f>IF(PARAMETRES!E12="","",PARAMETRES!E12)</f>
        <v/>
      </c>
      <c r="B13" s="52">
        <f>IF(A13="","",SUMIFS(BUDGETS_SERVICES!$E$4:$E$20000,BUDGETS_SERVICES!$A$4:$A$20000,A13))</f>
        <v/>
      </c>
      <c r="C13" s="52">
        <f>IF(A13="","",SUMIFS(RECEPTION!$N$4:$N$50000,RECEPTION!$F$4:$F$50000,A13,RECEPTION!$W$4:$W$50000,"VALIDEE"))</f>
        <v/>
      </c>
      <c r="D13" s="52">
        <f>IF(A13="","",SUMIFS(RECEPTION!$O$4:$O$50000,RECEPTION!$F$4:$F$50000,A13,RECEPTION!$M$4:$M$50000,"Payée",RECEPTION!$W$4:$W$50000,"VALIDEE"))</f>
        <v/>
      </c>
      <c r="E13" s="52">
        <f>IF(A13="","",SUMIFS(RECEPTION!$O$4:$O$50000,RECEPTION!$F$4:$F$50000,A13,RECEPTION!$M$4:$M$50000,"Engagée",RECEPTION!$W$4:$W$50000,"VALIDEE"))</f>
        <v/>
      </c>
      <c r="F13" s="52">
        <f>IF(A13="","",D13+E13)</f>
        <v/>
      </c>
      <c r="G13" s="52">
        <f>IF(A13="","",B13-F13)</f>
        <v/>
      </c>
      <c r="H13" s="60">
        <f>IF(OR(A13="",N(B13)=0),"",F13/B13)</f>
        <v/>
      </c>
      <c r="I13" s="52">
        <f>IF(A13="","",C13-D13)</f>
        <v/>
      </c>
      <c r="J13" s="51">
        <f>IF(A13="","",COUNTIFS(RECEPTION!$F$4:$F$50000,A13,RECEPTION!$W$4:$W$50000,"A VERIFIER"))</f>
        <v/>
      </c>
      <c r="K13" s="51">
        <f>IF(A13="","",COUNTIFS(RECEPTION!$F$4:$F$50000,A13,RECEPTION!$W$4:$W$50000,"REJETEE"))</f>
        <v/>
      </c>
      <c r="L13" s="61">
        <f>IF(A13="","",IF(_xlfn.MAXIFS(JOURNAL_IMPORTS!$A$4:$A$5000,JOURNAL_IMPORTS!$C$4:$C$5000,A13)=0,"Aucune",_xlfn.MAXIFS(JOURNAL_IMPORTS!$A$4:$A$5000,JOURNAL_IMPORTS!$C$4:$C$5000,A13)))</f>
        <v/>
      </c>
      <c r="N13" s="59">
        <f>IF(PARAMETRES!L12="","",PARAMETRES!L12)</f>
        <v/>
      </c>
      <c r="O13" s="52">
        <f>IF(N13="","",SUMIFS(RECEPTION!$O$4:$O$50000,RECEPTION!$H$4:$H$50000,N13,RECEPTION!$M$4:$M$50000,"Payée",RECEPTION!$W$4:$W$50000,"VALIDEE"))</f>
        <v/>
      </c>
      <c r="P13" s="52">
        <f>IF(N13="","",SUMIFS(RECEPTION!$O$4:$O$50000,RECEPTION!$H$4:$H$50000,N13,RECEPTION!$M$4:$M$50000,"Engagée",RECEPTION!$W$4:$W$50000,"VALIDEE"))</f>
        <v/>
      </c>
      <c r="Q13" s="52">
        <f>IF(N13="","",O13+P13)</f>
        <v/>
      </c>
    </row>
    <row r="14" ht="15" customHeight="1" s="37">
      <c r="A14" s="59">
        <f>IF(PARAMETRES!E13="","",PARAMETRES!E13)</f>
        <v/>
      </c>
      <c r="B14" s="52">
        <f>IF(A14="","",SUMIFS(BUDGETS_SERVICES!$E$4:$E$20000,BUDGETS_SERVICES!$A$4:$A$20000,A14))</f>
        <v/>
      </c>
      <c r="C14" s="52">
        <f>IF(A14="","",SUMIFS(RECEPTION!$N$4:$N$50000,RECEPTION!$F$4:$F$50000,A14,RECEPTION!$W$4:$W$50000,"VALIDEE"))</f>
        <v/>
      </c>
      <c r="D14" s="52">
        <f>IF(A14="","",SUMIFS(RECEPTION!$O$4:$O$50000,RECEPTION!$F$4:$F$50000,A14,RECEPTION!$M$4:$M$50000,"Payée",RECEPTION!$W$4:$W$50000,"VALIDEE"))</f>
        <v/>
      </c>
      <c r="E14" s="52">
        <f>IF(A14="","",SUMIFS(RECEPTION!$O$4:$O$50000,RECEPTION!$F$4:$F$50000,A14,RECEPTION!$M$4:$M$50000,"Engagée",RECEPTION!$W$4:$W$50000,"VALIDEE"))</f>
        <v/>
      </c>
      <c r="F14" s="52">
        <f>IF(A14="","",D14+E14)</f>
        <v/>
      </c>
      <c r="G14" s="52">
        <f>IF(A14="","",B14-F14)</f>
        <v/>
      </c>
      <c r="H14" s="60">
        <f>IF(OR(A14="",N(B14)=0),"",F14/B14)</f>
        <v/>
      </c>
      <c r="I14" s="52">
        <f>IF(A14="","",C14-D14)</f>
        <v/>
      </c>
      <c r="J14" s="51">
        <f>IF(A14="","",COUNTIFS(RECEPTION!$F$4:$F$50000,A14,RECEPTION!$W$4:$W$50000,"A VERIFIER"))</f>
        <v/>
      </c>
      <c r="K14" s="51">
        <f>IF(A14="","",COUNTIFS(RECEPTION!$F$4:$F$50000,A14,RECEPTION!$W$4:$W$50000,"REJETEE"))</f>
        <v/>
      </c>
      <c r="L14" s="61">
        <f>IF(A14="","",IF(_xlfn.MAXIFS(JOURNAL_IMPORTS!$A$4:$A$5000,JOURNAL_IMPORTS!$C$4:$C$5000,A14)=0,"Aucune",_xlfn.MAXIFS(JOURNAL_IMPORTS!$A$4:$A$5000,JOURNAL_IMPORTS!$C$4:$C$5000,A14)))</f>
        <v/>
      </c>
      <c r="N14" s="59">
        <f>IF(PARAMETRES!L13="","",PARAMETRES!L13)</f>
        <v/>
      </c>
      <c r="O14" s="52">
        <f>IF(N14="","",SUMIFS(RECEPTION!$O$4:$O$50000,RECEPTION!$H$4:$H$50000,N14,RECEPTION!$M$4:$M$50000,"Payée",RECEPTION!$W$4:$W$50000,"VALIDEE"))</f>
        <v/>
      </c>
      <c r="P14" s="52">
        <f>IF(N14="","",SUMIFS(RECEPTION!$O$4:$O$50000,RECEPTION!$H$4:$H$50000,N14,RECEPTION!$M$4:$M$50000,"Engagée",RECEPTION!$W$4:$W$50000,"VALIDEE"))</f>
        <v/>
      </c>
      <c r="Q14" s="52">
        <f>IF(N14="","",O14+P14)</f>
        <v/>
      </c>
    </row>
    <row r="15" ht="15" customHeight="1" s="37">
      <c r="A15" s="59">
        <f>IF(PARAMETRES!E14="","",PARAMETRES!E14)</f>
        <v/>
      </c>
      <c r="B15" s="52">
        <f>IF(A15="","",SUMIFS(BUDGETS_SERVICES!$E$4:$E$20000,BUDGETS_SERVICES!$A$4:$A$20000,A15))</f>
        <v/>
      </c>
      <c r="C15" s="52">
        <f>IF(A15="","",SUMIFS(RECEPTION!$N$4:$N$50000,RECEPTION!$F$4:$F$50000,A15,RECEPTION!$W$4:$W$50000,"VALIDEE"))</f>
        <v/>
      </c>
      <c r="D15" s="52">
        <f>IF(A15="","",SUMIFS(RECEPTION!$O$4:$O$50000,RECEPTION!$F$4:$F$50000,A15,RECEPTION!$M$4:$M$50000,"Payée",RECEPTION!$W$4:$W$50000,"VALIDEE"))</f>
        <v/>
      </c>
      <c r="E15" s="52">
        <f>IF(A15="","",SUMIFS(RECEPTION!$O$4:$O$50000,RECEPTION!$F$4:$F$50000,A15,RECEPTION!$M$4:$M$50000,"Engagée",RECEPTION!$W$4:$W$50000,"VALIDEE"))</f>
        <v/>
      </c>
      <c r="F15" s="52">
        <f>IF(A15="","",D15+E15)</f>
        <v/>
      </c>
      <c r="G15" s="52">
        <f>IF(A15="","",B15-F15)</f>
        <v/>
      </c>
      <c r="H15" s="60">
        <f>IF(OR(A15="",N(B15)=0),"",F15/B15)</f>
        <v/>
      </c>
      <c r="I15" s="52">
        <f>IF(A15="","",C15-D15)</f>
        <v/>
      </c>
      <c r="J15" s="51">
        <f>IF(A15="","",COUNTIFS(RECEPTION!$F$4:$F$50000,A15,RECEPTION!$W$4:$W$50000,"A VERIFIER"))</f>
        <v/>
      </c>
      <c r="K15" s="51">
        <f>IF(A15="","",COUNTIFS(RECEPTION!$F$4:$F$50000,A15,RECEPTION!$W$4:$W$50000,"REJETEE"))</f>
        <v/>
      </c>
      <c r="L15" s="61">
        <f>IF(A15="","",IF(_xlfn.MAXIFS(JOURNAL_IMPORTS!$A$4:$A$5000,JOURNAL_IMPORTS!$C$4:$C$5000,A15)=0,"Aucune",_xlfn.MAXIFS(JOURNAL_IMPORTS!$A$4:$A$5000,JOURNAL_IMPORTS!$C$4:$C$5000,A15)))</f>
        <v/>
      </c>
      <c r="N15" s="59">
        <f>IF(PARAMETRES!L14="","",PARAMETRES!L14)</f>
        <v/>
      </c>
      <c r="O15" s="52">
        <f>IF(N15="","",SUMIFS(RECEPTION!$O$4:$O$50000,RECEPTION!$H$4:$H$50000,N15,RECEPTION!$M$4:$M$50000,"Payée",RECEPTION!$W$4:$W$50000,"VALIDEE"))</f>
        <v/>
      </c>
      <c r="P15" s="52">
        <f>IF(N15="","",SUMIFS(RECEPTION!$O$4:$O$50000,RECEPTION!$H$4:$H$50000,N15,RECEPTION!$M$4:$M$50000,"Engagée",RECEPTION!$W$4:$W$50000,"VALIDEE"))</f>
        <v/>
      </c>
      <c r="Q15" s="52">
        <f>IF(N15="","",O15+P15)</f>
        <v/>
      </c>
    </row>
    <row r="16" ht="15" customHeight="1" s="37">
      <c r="A16" s="59">
        <f>IF(PARAMETRES!E15="","",PARAMETRES!E15)</f>
        <v/>
      </c>
      <c r="B16" s="52">
        <f>IF(A16="","",SUMIFS(BUDGETS_SERVICES!$E$4:$E$20000,BUDGETS_SERVICES!$A$4:$A$20000,A16))</f>
        <v/>
      </c>
      <c r="C16" s="52">
        <f>IF(A16="","",SUMIFS(RECEPTION!$N$4:$N$50000,RECEPTION!$F$4:$F$50000,A16,RECEPTION!$W$4:$W$50000,"VALIDEE"))</f>
        <v/>
      </c>
      <c r="D16" s="52">
        <f>IF(A16="","",SUMIFS(RECEPTION!$O$4:$O$50000,RECEPTION!$F$4:$F$50000,A16,RECEPTION!$M$4:$M$50000,"Payée",RECEPTION!$W$4:$W$50000,"VALIDEE"))</f>
        <v/>
      </c>
      <c r="E16" s="52">
        <f>IF(A16="","",SUMIFS(RECEPTION!$O$4:$O$50000,RECEPTION!$F$4:$F$50000,A16,RECEPTION!$M$4:$M$50000,"Engagée",RECEPTION!$W$4:$W$50000,"VALIDEE"))</f>
        <v/>
      </c>
      <c r="F16" s="52">
        <f>IF(A16="","",D16+E16)</f>
        <v/>
      </c>
      <c r="G16" s="52">
        <f>IF(A16="","",B16-F16)</f>
        <v/>
      </c>
      <c r="H16" s="60">
        <f>IF(OR(A16="",N(B16)=0),"",F16/B16)</f>
        <v/>
      </c>
      <c r="I16" s="52">
        <f>IF(A16="","",C16-D16)</f>
        <v/>
      </c>
      <c r="J16" s="51">
        <f>IF(A16="","",COUNTIFS(RECEPTION!$F$4:$F$50000,A16,RECEPTION!$W$4:$W$50000,"A VERIFIER"))</f>
        <v/>
      </c>
      <c r="K16" s="51">
        <f>IF(A16="","",COUNTIFS(RECEPTION!$F$4:$F$50000,A16,RECEPTION!$W$4:$W$50000,"REJETEE"))</f>
        <v/>
      </c>
      <c r="L16" s="61">
        <f>IF(A16="","",IF(_xlfn.MAXIFS(JOURNAL_IMPORTS!$A$4:$A$5000,JOURNAL_IMPORTS!$C$4:$C$5000,A16)=0,"Aucune",_xlfn.MAXIFS(JOURNAL_IMPORTS!$A$4:$A$5000,JOURNAL_IMPORTS!$C$4:$C$5000,A16)))</f>
        <v/>
      </c>
      <c r="N16" s="59">
        <f>IF(PARAMETRES!L15="","",PARAMETRES!L15)</f>
        <v/>
      </c>
      <c r="O16" s="52">
        <f>IF(N16="","",SUMIFS(RECEPTION!$O$4:$O$50000,RECEPTION!$H$4:$H$50000,N16,RECEPTION!$M$4:$M$50000,"Payée",RECEPTION!$W$4:$W$50000,"VALIDEE"))</f>
        <v/>
      </c>
      <c r="P16" s="52">
        <f>IF(N16="","",SUMIFS(RECEPTION!$O$4:$O$50000,RECEPTION!$H$4:$H$50000,N16,RECEPTION!$M$4:$M$50000,"Engagée",RECEPTION!$W$4:$W$50000,"VALIDEE"))</f>
        <v/>
      </c>
      <c r="Q16" s="52">
        <f>IF(N16="","",O16+P16)</f>
        <v/>
      </c>
    </row>
    <row r="17" ht="15" customHeight="1" s="37">
      <c r="A17" s="59">
        <f>IF(PARAMETRES!E16="","",PARAMETRES!E16)</f>
        <v/>
      </c>
      <c r="B17" s="52">
        <f>IF(A17="","",SUMIFS(BUDGETS_SERVICES!$E$4:$E$20000,BUDGETS_SERVICES!$A$4:$A$20000,A17))</f>
        <v/>
      </c>
      <c r="C17" s="52">
        <f>IF(A17="","",SUMIFS(RECEPTION!$N$4:$N$50000,RECEPTION!$F$4:$F$50000,A17,RECEPTION!$W$4:$W$50000,"VALIDEE"))</f>
        <v/>
      </c>
      <c r="D17" s="52">
        <f>IF(A17="","",SUMIFS(RECEPTION!$O$4:$O$50000,RECEPTION!$F$4:$F$50000,A17,RECEPTION!$M$4:$M$50000,"Payée",RECEPTION!$W$4:$W$50000,"VALIDEE"))</f>
        <v/>
      </c>
      <c r="E17" s="52">
        <f>IF(A17="","",SUMIFS(RECEPTION!$O$4:$O$50000,RECEPTION!$F$4:$F$50000,A17,RECEPTION!$M$4:$M$50000,"Engagée",RECEPTION!$W$4:$W$50000,"VALIDEE"))</f>
        <v/>
      </c>
      <c r="F17" s="52">
        <f>IF(A17="","",D17+E17)</f>
        <v/>
      </c>
      <c r="G17" s="52">
        <f>IF(A17="","",B17-F17)</f>
        <v/>
      </c>
      <c r="H17" s="60">
        <f>IF(OR(A17="",N(B17)=0),"",F17/B17)</f>
        <v/>
      </c>
      <c r="I17" s="52">
        <f>IF(A17="","",C17-D17)</f>
        <v/>
      </c>
      <c r="J17" s="51">
        <f>IF(A17="","",COUNTIFS(RECEPTION!$F$4:$F$50000,A17,RECEPTION!$W$4:$W$50000,"A VERIFIER"))</f>
        <v/>
      </c>
      <c r="K17" s="51">
        <f>IF(A17="","",COUNTIFS(RECEPTION!$F$4:$F$50000,A17,RECEPTION!$W$4:$W$50000,"REJETEE"))</f>
        <v/>
      </c>
      <c r="L17" s="61">
        <f>IF(A17="","",IF(_xlfn.MAXIFS(JOURNAL_IMPORTS!$A$4:$A$5000,JOURNAL_IMPORTS!$C$4:$C$5000,A17)=0,"Aucune",_xlfn.MAXIFS(JOURNAL_IMPORTS!$A$4:$A$5000,JOURNAL_IMPORTS!$C$4:$C$5000,A17)))</f>
        <v/>
      </c>
      <c r="N17" s="59">
        <f>IF(PARAMETRES!L16="","",PARAMETRES!L16)</f>
        <v/>
      </c>
      <c r="O17" s="52">
        <f>IF(N17="","",SUMIFS(RECEPTION!$O$4:$O$50000,RECEPTION!$H$4:$H$50000,N17,RECEPTION!$M$4:$M$50000,"Payée",RECEPTION!$W$4:$W$50000,"VALIDEE"))</f>
        <v/>
      </c>
      <c r="P17" s="52">
        <f>IF(N17="","",SUMIFS(RECEPTION!$O$4:$O$50000,RECEPTION!$H$4:$H$50000,N17,RECEPTION!$M$4:$M$50000,"Engagée",RECEPTION!$W$4:$W$50000,"VALIDEE"))</f>
        <v/>
      </c>
      <c r="Q17" s="52">
        <f>IF(N17="","",O17+P17)</f>
        <v/>
      </c>
    </row>
    <row r="18" ht="15" customHeight="1" s="37">
      <c r="A18" s="59">
        <f>IF(PARAMETRES!E17="","",PARAMETRES!E17)</f>
        <v/>
      </c>
      <c r="B18" s="52">
        <f>IF(A18="","",SUMIFS(BUDGETS_SERVICES!$E$4:$E$20000,BUDGETS_SERVICES!$A$4:$A$20000,A18))</f>
        <v/>
      </c>
      <c r="C18" s="52">
        <f>IF(A18="","",SUMIFS(RECEPTION!$N$4:$N$50000,RECEPTION!$F$4:$F$50000,A18,RECEPTION!$W$4:$W$50000,"VALIDEE"))</f>
        <v/>
      </c>
      <c r="D18" s="52">
        <f>IF(A18="","",SUMIFS(RECEPTION!$O$4:$O$50000,RECEPTION!$F$4:$F$50000,A18,RECEPTION!$M$4:$M$50000,"Payée",RECEPTION!$W$4:$W$50000,"VALIDEE"))</f>
        <v/>
      </c>
      <c r="E18" s="52">
        <f>IF(A18="","",SUMIFS(RECEPTION!$O$4:$O$50000,RECEPTION!$F$4:$F$50000,A18,RECEPTION!$M$4:$M$50000,"Engagée",RECEPTION!$W$4:$W$50000,"VALIDEE"))</f>
        <v/>
      </c>
      <c r="F18" s="52">
        <f>IF(A18="","",D18+E18)</f>
        <v/>
      </c>
      <c r="G18" s="52">
        <f>IF(A18="","",B18-F18)</f>
        <v/>
      </c>
      <c r="H18" s="60">
        <f>IF(OR(A18="",N(B18)=0),"",F18/B18)</f>
        <v/>
      </c>
      <c r="I18" s="52">
        <f>IF(A18="","",C18-D18)</f>
        <v/>
      </c>
      <c r="J18" s="51">
        <f>IF(A18="","",COUNTIFS(RECEPTION!$F$4:$F$50000,A18,RECEPTION!$W$4:$W$50000,"A VERIFIER"))</f>
        <v/>
      </c>
      <c r="K18" s="51">
        <f>IF(A18="","",COUNTIFS(RECEPTION!$F$4:$F$50000,A18,RECEPTION!$W$4:$W$50000,"REJETEE"))</f>
        <v/>
      </c>
      <c r="L18" s="61">
        <f>IF(A18="","",IF(_xlfn.MAXIFS(JOURNAL_IMPORTS!$A$4:$A$5000,JOURNAL_IMPORTS!$C$4:$C$5000,A18)=0,"Aucune",_xlfn.MAXIFS(JOURNAL_IMPORTS!$A$4:$A$5000,JOURNAL_IMPORTS!$C$4:$C$5000,A18)))</f>
        <v/>
      </c>
      <c r="N18" s="59">
        <f>IF(PARAMETRES!L17="","",PARAMETRES!L17)</f>
        <v/>
      </c>
      <c r="O18" s="52">
        <f>IF(N18="","",SUMIFS(RECEPTION!$O$4:$O$50000,RECEPTION!$H$4:$H$50000,N18,RECEPTION!$M$4:$M$50000,"Payée",RECEPTION!$W$4:$W$50000,"VALIDEE"))</f>
        <v/>
      </c>
      <c r="P18" s="52">
        <f>IF(N18="","",SUMIFS(RECEPTION!$O$4:$O$50000,RECEPTION!$H$4:$H$50000,N18,RECEPTION!$M$4:$M$50000,"Engagée",RECEPTION!$W$4:$W$50000,"VALIDEE"))</f>
        <v/>
      </c>
      <c r="Q18" s="52">
        <f>IF(N18="","",O18+P18)</f>
        <v/>
      </c>
    </row>
    <row r="19" ht="15" customHeight="1" s="37">
      <c r="A19" s="59">
        <f>IF(PARAMETRES!E18="","",PARAMETRES!E18)</f>
        <v/>
      </c>
      <c r="B19" s="52">
        <f>IF(A19="","",SUMIFS(BUDGETS_SERVICES!$E$4:$E$20000,BUDGETS_SERVICES!$A$4:$A$20000,A19))</f>
        <v/>
      </c>
      <c r="C19" s="52">
        <f>IF(A19="","",SUMIFS(RECEPTION!$N$4:$N$50000,RECEPTION!$F$4:$F$50000,A19,RECEPTION!$W$4:$W$50000,"VALIDEE"))</f>
        <v/>
      </c>
      <c r="D19" s="52">
        <f>IF(A19="","",SUMIFS(RECEPTION!$O$4:$O$50000,RECEPTION!$F$4:$F$50000,A19,RECEPTION!$M$4:$M$50000,"Payée",RECEPTION!$W$4:$W$50000,"VALIDEE"))</f>
        <v/>
      </c>
      <c r="E19" s="52">
        <f>IF(A19="","",SUMIFS(RECEPTION!$O$4:$O$50000,RECEPTION!$F$4:$F$50000,A19,RECEPTION!$M$4:$M$50000,"Engagée",RECEPTION!$W$4:$W$50000,"VALIDEE"))</f>
        <v/>
      </c>
      <c r="F19" s="52">
        <f>IF(A19="","",D19+E19)</f>
        <v/>
      </c>
      <c r="G19" s="52">
        <f>IF(A19="","",B19-F19)</f>
        <v/>
      </c>
      <c r="H19" s="60">
        <f>IF(OR(A19="",N(B19)=0),"",F19/B19)</f>
        <v/>
      </c>
      <c r="I19" s="52">
        <f>IF(A19="","",C19-D19)</f>
        <v/>
      </c>
      <c r="J19" s="51">
        <f>IF(A19="","",COUNTIFS(RECEPTION!$F$4:$F$50000,A19,RECEPTION!$W$4:$W$50000,"A VERIFIER"))</f>
        <v/>
      </c>
      <c r="K19" s="51">
        <f>IF(A19="","",COUNTIFS(RECEPTION!$F$4:$F$50000,A19,RECEPTION!$W$4:$W$50000,"REJETEE"))</f>
        <v/>
      </c>
      <c r="L19" s="61">
        <f>IF(A19="","",IF(_xlfn.MAXIFS(JOURNAL_IMPORTS!$A$4:$A$5000,JOURNAL_IMPORTS!$C$4:$C$5000,A19)=0,"Aucune",_xlfn.MAXIFS(JOURNAL_IMPORTS!$A$4:$A$5000,JOURNAL_IMPORTS!$C$4:$C$5000,A19)))</f>
        <v/>
      </c>
      <c r="N19" s="59">
        <f>IF(PARAMETRES!L18="","",PARAMETRES!L18)</f>
        <v/>
      </c>
      <c r="O19" s="52">
        <f>IF(N19="","",SUMIFS(RECEPTION!$O$4:$O$50000,RECEPTION!$H$4:$H$50000,N19,RECEPTION!$M$4:$M$50000,"Payée",RECEPTION!$W$4:$W$50000,"VALIDEE"))</f>
        <v/>
      </c>
      <c r="P19" s="52">
        <f>IF(N19="","",SUMIFS(RECEPTION!$O$4:$O$50000,RECEPTION!$H$4:$H$50000,N19,RECEPTION!$M$4:$M$50000,"Engagée",RECEPTION!$W$4:$W$50000,"VALIDEE"))</f>
        <v/>
      </c>
      <c r="Q19" s="52">
        <f>IF(N19="","",O19+P19)</f>
        <v/>
      </c>
    </row>
    <row r="20" ht="15" customHeight="1" s="37">
      <c r="A20" s="59">
        <f>IF(PARAMETRES!E19="","",PARAMETRES!E19)</f>
        <v/>
      </c>
      <c r="B20" s="52">
        <f>IF(A20="","",SUMIFS(BUDGETS_SERVICES!$E$4:$E$20000,BUDGETS_SERVICES!$A$4:$A$20000,A20))</f>
        <v/>
      </c>
      <c r="C20" s="52">
        <f>IF(A20="","",SUMIFS(RECEPTION!$N$4:$N$50000,RECEPTION!$F$4:$F$50000,A20,RECEPTION!$W$4:$W$50000,"VALIDEE"))</f>
        <v/>
      </c>
      <c r="D20" s="52">
        <f>IF(A20="","",SUMIFS(RECEPTION!$O$4:$O$50000,RECEPTION!$F$4:$F$50000,A20,RECEPTION!$M$4:$M$50000,"Payée",RECEPTION!$W$4:$W$50000,"VALIDEE"))</f>
        <v/>
      </c>
      <c r="E20" s="52">
        <f>IF(A20="","",SUMIFS(RECEPTION!$O$4:$O$50000,RECEPTION!$F$4:$F$50000,A20,RECEPTION!$M$4:$M$50000,"Engagée",RECEPTION!$W$4:$W$50000,"VALIDEE"))</f>
        <v/>
      </c>
      <c r="F20" s="52">
        <f>IF(A20="","",D20+E20)</f>
        <v/>
      </c>
      <c r="G20" s="52">
        <f>IF(A20="","",B20-F20)</f>
        <v/>
      </c>
      <c r="H20" s="60">
        <f>IF(OR(A20="",N(B20)=0),"",F20/B20)</f>
        <v/>
      </c>
      <c r="I20" s="52">
        <f>IF(A20="","",C20-D20)</f>
        <v/>
      </c>
      <c r="J20" s="51">
        <f>IF(A20="","",COUNTIFS(RECEPTION!$F$4:$F$50000,A20,RECEPTION!$W$4:$W$50000,"A VERIFIER"))</f>
        <v/>
      </c>
      <c r="K20" s="51">
        <f>IF(A20="","",COUNTIFS(RECEPTION!$F$4:$F$50000,A20,RECEPTION!$W$4:$W$50000,"REJETEE"))</f>
        <v/>
      </c>
      <c r="L20" s="61">
        <f>IF(A20="","",IF(_xlfn.MAXIFS(JOURNAL_IMPORTS!$A$4:$A$5000,JOURNAL_IMPORTS!$C$4:$C$5000,A20)=0,"Aucune",_xlfn.MAXIFS(JOURNAL_IMPORTS!$A$4:$A$5000,JOURNAL_IMPORTS!$C$4:$C$5000,A20)))</f>
        <v/>
      </c>
      <c r="N20" s="59">
        <f>IF(PARAMETRES!L19="","",PARAMETRES!L19)</f>
        <v/>
      </c>
      <c r="O20" s="52">
        <f>IF(N20="","",SUMIFS(RECEPTION!$O$4:$O$50000,RECEPTION!$H$4:$H$50000,N20,RECEPTION!$M$4:$M$50000,"Payée",RECEPTION!$W$4:$W$50000,"VALIDEE"))</f>
        <v/>
      </c>
      <c r="P20" s="52">
        <f>IF(N20="","",SUMIFS(RECEPTION!$O$4:$O$50000,RECEPTION!$H$4:$H$50000,N20,RECEPTION!$M$4:$M$50000,"Engagée",RECEPTION!$W$4:$W$50000,"VALIDEE"))</f>
        <v/>
      </c>
      <c r="Q20" s="52">
        <f>IF(N20="","",O20+P20)</f>
        <v/>
      </c>
    </row>
    <row r="21" ht="15" customHeight="1" s="37">
      <c r="A21" s="59">
        <f>IF(PARAMETRES!E20="","",PARAMETRES!E20)</f>
        <v/>
      </c>
      <c r="B21" s="52">
        <f>IF(A21="","",SUMIFS(BUDGETS_SERVICES!$E$4:$E$20000,BUDGETS_SERVICES!$A$4:$A$20000,A21))</f>
        <v/>
      </c>
      <c r="C21" s="52">
        <f>IF(A21="","",SUMIFS(RECEPTION!$N$4:$N$50000,RECEPTION!$F$4:$F$50000,A21,RECEPTION!$W$4:$W$50000,"VALIDEE"))</f>
        <v/>
      </c>
      <c r="D21" s="52">
        <f>IF(A21="","",SUMIFS(RECEPTION!$O$4:$O$50000,RECEPTION!$F$4:$F$50000,A21,RECEPTION!$M$4:$M$50000,"Payée",RECEPTION!$W$4:$W$50000,"VALIDEE"))</f>
        <v/>
      </c>
      <c r="E21" s="52">
        <f>IF(A21="","",SUMIFS(RECEPTION!$O$4:$O$50000,RECEPTION!$F$4:$F$50000,A21,RECEPTION!$M$4:$M$50000,"Engagée",RECEPTION!$W$4:$W$50000,"VALIDEE"))</f>
        <v/>
      </c>
      <c r="F21" s="52">
        <f>IF(A21="","",D21+E21)</f>
        <v/>
      </c>
      <c r="G21" s="52">
        <f>IF(A21="","",B21-F21)</f>
        <v/>
      </c>
      <c r="H21" s="60">
        <f>IF(OR(A21="",N(B21)=0),"",F21/B21)</f>
        <v/>
      </c>
      <c r="I21" s="52">
        <f>IF(A21="","",C21-D21)</f>
        <v/>
      </c>
      <c r="J21" s="51">
        <f>IF(A21="","",COUNTIFS(RECEPTION!$F$4:$F$50000,A21,RECEPTION!$W$4:$W$50000,"A VERIFIER"))</f>
        <v/>
      </c>
      <c r="K21" s="51">
        <f>IF(A21="","",COUNTIFS(RECEPTION!$F$4:$F$50000,A21,RECEPTION!$W$4:$W$50000,"REJETEE"))</f>
        <v/>
      </c>
      <c r="L21" s="61">
        <f>IF(A21="","",IF(_xlfn.MAXIFS(JOURNAL_IMPORTS!$A$4:$A$5000,JOURNAL_IMPORTS!$C$4:$C$5000,A21)=0,"Aucune",_xlfn.MAXIFS(JOURNAL_IMPORTS!$A$4:$A$5000,JOURNAL_IMPORTS!$C$4:$C$5000,A21)))</f>
        <v/>
      </c>
      <c r="N21" s="59">
        <f>IF(PARAMETRES!L20="","",PARAMETRES!L20)</f>
        <v/>
      </c>
      <c r="O21" s="52">
        <f>IF(N21="","",SUMIFS(RECEPTION!$O$4:$O$50000,RECEPTION!$H$4:$H$50000,N21,RECEPTION!$M$4:$M$50000,"Payée",RECEPTION!$W$4:$W$50000,"VALIDEE"))</f>
        <v/>
      </c>
      <c r="P21" s="52">
        <f>IF(N21="","",SUMIFS(RECEPTION!$O$4:$O$50000,RECEPTION!$H$4:$H$50000,N21,RECEPTION!$M$4:$M$50000,"Engagée",RECEPTION!$W$4:$W$50000,"VALIDEE"))</f>
        <v/>
      </c>
      <c r="Q21" s="52">
        <f>IF(N21="","",O21+P21)</f>
        <v/>
      </c>
    </row>
    <row r="22" ht="15" customHeight="1" s="37">
      <c r="A22" s="59">
        <f>IF(PARAMETRES!E21="","",PARAMETRES!E21)</f>
        <v/>
      </c>
      <c r="B22" s="52">
        <f>IF(A22="","",SUMIFS(BUDGETS_SERVICES!$E$4:$E$20000,BUDGETS_SERVICES!$A$4:$A$20000,A22))</f>
        <v/>
      </c>
      <c r="C22" s="52">
        <f>IF(A22="","",SUMIFS(RECEPTION!$N$4:$N$50000,RECEPTION!$F$4:$F$50000,A22,RECEPTION!$W$4:$W$50000,"VALIDEE"))</f>
        <v/>
      </c>
      <c r="D22" s="52">
        <f>IF(A22="","",SUMIFS(RECEPTION!$O$4:$O$50000,RECEPTION!$F$4:$F$50000,A22,RECEPTION!$M$4:$M$50000,"Payée",RECEPTION!$W$4:$W$50000,"VALIDEE"))</f>
        <v/>
      </c>
      <c r="E22" s="52">
        <f>IF(A22="","",SUMIFS(RECEPTION!$O$4:$O$50000,RECEPTION!$F$4:$F$50000,A22,RECEPTION!$M$4:$M$50000,"Engagée",RECEPTION!$W$4:$W$50000,"VALIDEE"))</f>
        <v/>
      </c>
      <c r="F22" s="52">
        <f>IF(A22="","",D22+E22)</f>
        <v/>
      </c>
      <c r="G22" s="52">
        <f>IF(A22="","",B22-F22)</f>
        <v/>
      </c>
      <c r="H22" s="60">
        <f>IF(OR(A22="",N(B22)=0),"",F22/B22)</f>
        <v/>
      </c>
      <c r="I22" s="52">
        <f>IF(A22="","",C22-D22)</f>
        <v/>
      </c>
      <c r="J22" s="51">
        <f>IF(A22="","",COUNTIFS(RECEPTION!$F$4:$F$50000,A22,RECEPTION!$W$4:$W$50000,"A VERIFIER"))</f>
        <v/>
      </c>
      <c r="K22" s="51">
        <f>IF(A22="","",COUNTIFS(RECEPTION!$F$4:$F$50000,A22,RECEPTION!$W$4:$W$50000,"REJETEE"))</f>
        <v/>
      </c>
      <c r="L22" s="61">
        <f>IF(A22="","",IF(_xlfn.MAXIFS(JOURNAL_IMPORTS!$A$4:$A$5000,JOURNAL_IMPORTS!$C$4:$C$5000,A22)=0,"Aucune",_xlfn.MAXIFS(JOURNAL_IMPORTS!$A$4:$A$5000,JOURNAL_IMPORTS!$C$4:$C$5000,A22)))</f>
        <v/>
      </c>
      <c r="N22" s="59">
        <f>IF(PARAMETRES!L21="","",PARAMETRES!L21)</f>
        <v/>
      </c>
      <c r="O22" s="52">
        <f>IF(N22="","",SUMIFS(RECEPTION!$O$4:$O$50000,RECEPTION!$H$4:$H$50000,N22,RECEPTION!$M$4:$M$50000,"Payée",RECEPTION!$W$4:$W$50000,"VALIDEE"))</f>
        <v/>
      </c>
      <c r="P22" s="52">
        <f>IF(N22="","",SUMIFS(RECEPTION!$O$4:$O$50000,RECEPTION!$H$4:$H$50000,N22,RECEPTION!$M$4:$M$50000,"Engagée",RECEPTION!$W$4:$W$50000,"VALIDEE"))</f>
        <v/>
      </c>
      <c r="Q22" s="52">
        <f>IF(N22="","",O22+P22)</f>
        <v/>
      </c>
    </row>
    <row r="23" ht="15" customHeight="1" s="37">
      <c r="A23" s="59">
        <f>IF(PARAMETRES!E22="","",PARAMETRES!E22)</f>
        <v/>
      </c>
      <c r="B23" s="52">
        <f>IF(A23="","",SUMIFS(BUDGETS_SERVICES!$E$4:$E$20000,BUDGETS_SERVICES!$A$4:$A$20000,A23))</f>
        <v/>
      </c>
      <c r="C23" s="52">
        <f>IF(A23="","",SUMIFS(RECEPTION!$N$4:$N$50000,RECEPTION!$F$4:$F$50000,A23,RECEPTION!$W$4:$W$50000,"VALIDEE"))</f>
        <v/>
      </c>
      <c r="D23" s="52">
        <f>IF(A23="","",SUMIFS(RECEPTION!$O$4:$O$50000,RECEPTION!$F$4:$F$50000,A23,RECEPTION!$M$4:$M$50000,"Payée",RECEPTION!$W$4:$W$50000,"VALIDEE"))</f>
        <v/>
      </c>
      <c r="E23" s="52">
        <f>IF(A23="","",SUMIFS(RECEPTION!$O$4:$O$50000,RECEPTION!$F$4:$F$50000,A23,RECEPTION!$M$4:$M$50000,"Engagée",RECEPTION!$W$4:$W$50000,"VALIDEE"))</f>
        <v/>
      </c>
      <c r="F23" s="52">
        <f>IF(A23="","",D23+E23)</f>
        <v/>
      </c>
      <c r="G23" s="52">
        <f>IF(A23="","",B23-F23)</f>
        <v/>
      </c>
      <c r="H23" s="60">
        <f>IF(OR(A23="",N(B23)=0),"",F23/B23)</f>
        <v/>
      </c>
      <c r="I23" s="52">
        <f>IF(A23="","",C23-D23)</f>
        <v/>
      </c>
      <c r="J23" s="51">
        <f>IF(A23="","",COUNTIFS(RECEPTION!$F$4:$F$50000,A23,RECEPTION!$W$4:$W$50000,"A VERIFIER"))</f>
        <v/>
      </c>
      <c r="K23" s="51">
        <f>IF(A23="","",COUNTIFS(RECEPTION!$F$4:$F$50000,A23,RECEPTION!$W$4:$W$50000,"REJETEE"))</f>
        <v/>
      </c>
      <c r="L23" s="61">
        <f>IF(A23="","",IF(_xlfn.MAXIFS(JOURNAL_IMPORTS!$A$4:$A$5000,JOURNAL_IMPORTS!$C$4:$C$5000,A23)=0,"Aucune",_xlfn.MAXIFS(JOURNAL_IMPORTS!$A$4:$A$5000,JOURNAL_IMPORTS!$C$4:$C$5000,A23)))</f>
        <v/>
      </c>
      <c r="N23" s="59">
        <f>IF(PARAMETRES!L22="","",PARAMETRES!L22)</f>
        <v/>
      </c>
      <c r="O23" s="52">
        <f>IF(N23="","",SUMIFS(RECEPTION!$O$4:$O$50000,RECEPTION!$H$4:$H$50000,N23,RECEPTION!$M$4:$M$50000,"Payée",RECEPTION!$W$4:$W$50000,"VALIDEE"))</f>
        <v/>
      </c>
      <c r="P23" s="52">
        <f>IF(N23="","",SUMIFS(RECEPTION!$O$4:$O$50000,RECEPTION!$H$4:$H$50000,N23,RECEPTION!$M$4:$M$50000,"Engagée",RECEPTION!$W$4:$W$50000,"VALIDEE"))</f>
        <v/>
      </c>
      <c r="Q23" s="52">
        <f>IF(N23="","",O23+P23)</f>
        <v/>
      </c>
    </row>
    <row r="24" ht="15" customHeight="1" s="37">
      <c r="A24" s="59">
        <f>IF(PARAMETRES!E23="","",PARAMETRES!E23)</f>
        <v/>
      </c>
      <c r="B24" s="52">
        <f>IF(A24="","",SUMIFS(BUDGETS_SERVICES!$E$4:$E$20000,BUDGETS_SERVICES!$A$4:$A$20000,A24))</f>
        <v/>
      </c>
      <c r="C24" s="52">
        <f>IF(A24="","",SUMIFS(RECEPTION!$N$4:$N$50000,RECEPTION!$F$4:$F$50000,A24,RECEPTION!$W$4:$W$50000,"VALIDEE"))</f>
        <v/>
      </c>
      <c r="D24" s="52">
        <f>IF(A24="","",SUMIFS(RECEPTION!$O$4:$O$50000,RECEPTION!$F$4:$F$50000,A24,RECEPTION!$M$4:$M$50000,"Payée",RECEPTION!$W$4:$W$50000,"VALIDEE"))</f>
        <v/>
      </c>
      <c r="E24" s="52">
        <f>IF(A24="","",SUMIFS(RECEPTION!$O$4:$O$50000,RECEPTION!$F$4:$F$50000,A24,RECEPTION!$M$4:$M$50000,"Engagée",RECEPTION!$W$4:$W$50000,"VALIDEE"))</f>
        <v/>
      </c>
      <c r="F24" s="52">
        <f>IF(A24="","",D24+E24)</f>
        <v/>
      </c>
      <c r="G24" s="52">
        <f>IF(A24="","",B24-F24)</f>
        <v/>
      </c>
      <c r="H24" s="60">
        <f>IF(OR(A24="",N(B24)=0),"",F24/B24)</f>
        <v/>
      </c>
      <c r="I24" s="52">
        <f>IF(A24="","",C24-D24)</f>
        <v/>
      </c>
      <c r="J24" s="51">
        <f>IF(A24="","",COUNTIFS(RECEPTION!$F$4:$F$50000,A24,RECEPTION!$W$4:$W$50000,"A VERIFIER"))</f>
        <v/>
      </c>
      <c r="K24" s="51">
        <f>IF(A24="","",COUNTIFS(RECEPTION!$F$4:$F$50000,A24,RECEPTION!$W$4:$W$50000,"REJETEE"))</f>
        <v/>
      </c>
      <c r="L24" s="61">
        <f>IF(A24="","",IF(_xlfn.MAXIFS(JOURNAL_IMPORTS!$A$4:$A$5000,JOURNAL_IMPORTS!$C$4:$C$5000,A24)=0,"Aucune",_xlfn.MAXIFS(JOURNAL_IMPORTS!$A$4:$A$5000,JOURNAL_IMPORTS!$C$4:$C$5000,A24)))</f>
        <v/>
      </c>
      <c r="N24" s="59">
        <f>IF(PARAMETRES!L23="","",PARAMETRES!L23)</f>
        <v/>
      </c>
      <c r="O24" s="52">
        <f>IF(N24="","",SUMIFS(RECEPTION!$O$4:$O$50000,RECEPTION!$H$4:$H$50000,N24,RECEPTION!$M$4:$M$50000,"Payée",RECEPTION!$W$4:$W$50000,"VALIDEE"))</f>
        <v/>
      </c>
      <c r="P24" s="52">
        <f>IF(N24="","",SUMIFS(RECEPTION!$O$4:$O$50000,RECEPTION!$H$4:$H$50000,N24,RECEPTION!$M$4:$M$50000,"Engagée",RECEPTION!$W$4:$W$50000,"VALIDEE"))</f>
        <v/>
      </c>
      <c r="Q24" s="52">
        <f>IF(N24="","",O24+P24)</f>
        <v/>
      </c>
    </row>
    <row r="25" ht="15" customHeight="1" s="37">
      <c r="A25" s="59">
        <f>IF(PARAMETRES!E24="","",PARAMETRES!E24)</f>
        <v/>
      </c>
      <c r="B25" s="52">
        <f>IF(A25="","",SUMIFS(BUDGETS_SERVICES!$E$4:$E$20000,BUDGETS_SERVICES!$A$4:$A$20000,A25))</f>
        <v/>
      </c>
      <c r="C25" s="52">
        <f>IF(A25="","",SUMIFS(RECEPTION!$N$4:$N$50000,RECEPTION!$F$4:$F$50000,A25,RECEPTION!$W$4:$W$50000,"VALIDEE"))</f>
        <v/>
      </c>
      <c r="D25" s="52">
        <f>IF(A25="","",SUMIFS(RECEPTION!$O$4:$O$50000,RECEPTION!$F$4:$F$50000,A25,RECEPTION!$M$4:$M$50000,"Payée",RECEPTION!$W$4:$W$50000,"VALIDEE"))</f>
        <v/>
      </c>
      <c r="E25" s="52">
        <f>IF(A25="","",SUMIFS(RECEPTION!$O$4:$O$50000,RECEPTION!$F$4:$F$50000,A25,RECEPTION!$M$4:$M$50000,"Engagée",RECEPTION!$W$4:$W$50000,"VALIDEE"))</f>
        <v/>
      </c>
      <c r="F25" s="52">
        <f>IF(A25="","",D25+E25)</f>
        <v/>
      </c>
      <c r="G25" s="52">
        <f>IF(A25="","",B25-F25)</f>
        <v/>
      </c>
      <c r="H25" s="60">
        <f>IF(OR(A25="",N(B25)=0),"",F25/B25)</f>
        <v/>
      </c>
      <c r="I25" s="52">
        <f>IF(A25="","",C25-D25)</f>
        <v/>
      </c>
      <c r="J25" s="51">
        <f>IF(A25="","",COUNTIFS(RECEPTION!$F$4:$F$50000,A25,RECEPTION!$W$4:$W$50000,"A VERIFIER"))</f>
        <v/>
      </c>
      <c r="K25" s="51">
        <f>IF(A25="","",COUNTIFS(RECEPTION!$F$4:$F$50000,A25,RECEPTION!$W$4:$W$50000,"REJETEE"))</f>
        <v/>
      </c>
      <c r="L25" s="61">
        <f>IF(A25="","",IF(_xlfn.MAXIFS(JOURNAL_IMPORTS!$A$4:$A$5000,JOURNAL_IMPORTS!$C$4:$C$5000,A25)=0,"Aucune",_xlfn.MAXIFS(JOURNAL_IMPORTS!$A$4:$A$5000,JOURNAL_IMPORTS!$C$4:$C$5000,A25)))</f>
        <v/>
      </c>
    </row>
    <row r="26" ht="15" customHeight="1" s="37">
      <c r="A26" s="59">
        <f>IF(PARAMETRES!E25="","",PARAMETRES!E25)</f>
        <v/>
      </c>
      <c r="B26" s="52">
        <f>IF(A26="","",SUMIFS(BUDGETS_SERVICES!$E$4:$E$20000,BUDGETS_SERVICES!$A$4:$A$20000,A26))</f>
        <v/>
      </c>
      <c r="C26" s="52">
        <f>IF(A26="","",SUMIFS(RECEPTION!$N$4:$N$50000,RECEPTION!$F$4:$F$50000,A26,RECEPTION!$W$4:$W$50000,"VALIDEE"))</f>
        <v/>
      </c>
      <c r="D26" s="52">
        <f>IF(A26="","",SUMIFS(RECEPTION!$O$4:$O$50000,RECEPTION!$F$4:$F$50000,A26,RECEPTION!$M$4:$M$50000,"Payée",RECEPTION!$W$4:$W$50000,"VALIDEE"))</f>
        <v/>
      </c>
      <c r="E26" s="52">
        <f>IF(A26="","",SUMIFS(RECEPTION!$O$4:$O$50000,RECEPTION!$F$4:$F$50000,A26,RECEPTION!$M$4:$M$50000,"Engagée",RECEPTION!$W$4:$W$50000,"VALIDEE"))</f>
        <v/>
      </c>
      <c r="F26" s="52">
        <f>IF(A26="","",D26+E26)</f>
        <v/>
      </c>
      <c r="G26" s="52">
        <f>IF(A26="","",B26-F26)</f>
        <v/>
      </c>
      <c r="H26" s="60">
        <f>IF(OR(A26="",N(B26)=0),"",F26/B26)</f>
        <v/>
      </c>
      <c r="I26" s="52">
        <f>IF(A26="","",C26-D26)</f>
        <v/>
      </c>
      <c r="J26" s="51">
        <f>IF(A26="","",COUNTIFS(RECEPTION!$F$4:$F$50000,A26,RECEPTION!$W$4:$W$50000,"A VERIFIER"))</f>
        <v/>
      </c>
      <c r="K26" s="51">
        <f>IF(A26="","",COUNTIFS(RECEPTION!$F$4:$F$50000,A26,RECEPTION!$W$4:$W$50000,"REJETEE"))</f>
        <v/>
      </c>
      <c r="L26" s="61">
        <f>IF(A26="","",IF(_xlfn.MAXIFS(JOURNAL_IMPORTS!$A$4:$A$5000,JOURNAL_IMPORTS!$C$4:$C$5000,A26)=0,"Aucune",_xlfn.MAXIFS(JOURNAL_IMPORTS!$A$4:$A$5000,JOURNAL_IMPORTS!$C$4:$C$5000,A26)))</f>
        <v/>
      </c>
    </row>
    <row r="27" ht="15" customHeight="1" s="37">
      <c r="A27" s="59">
        <f>IF(PARAMETRES!E26="","",PARAMETRES!E26)</f>
        <v/>
      </c>
      <c r="B27" s="52">
        <f>IF(A27="","",SUMIFS(BUDGETS_SERVICES!$E$4:$E$20000,BUDGETS_SERVICES!$A$4:$A$20000,A27))</f>
        <v/>
      </c>
      <c r="C27" s="52">
        <f>IF(A27="","",SUMIFS(RECEPTION!$N$4:$N$50000,RECEPTION!$F$4:$F$50000,A27,RECEPTION!$W$4:$W$50000,"VALIDEE"))</f>
        <v/>
      </c>
      <c r="D27" s="52">
        <f>IF(A27="","",SUMIFS(RECEPTION!$O$4:$O$50000,RECEPTION!$F$4:$F$50000,A27,RECEPTION!$M$4:$M$50000,"Payée",RECEPTION!$W$4:$W$50000,"VALIDEE"))</f>
        <v/>
      </c>
      <c r="E27" s="52">
        <f>IF(A27="","",SUMIFS(RECEPTION!$O$4:$O$50000,RECEPTION!$F$4:$F$50000,A27,RECEPTION!$M$4:$M$50000,"Engagée",RECEPTION!$W$4:$W$50000,"VALIDEE"))</f>
        <v/>
      </c>
      <c r="F27" s="52">
        <f>IF(A27="","",D27+E27)</f>
        <v/>
      </c>
      <c r="G27" s="52">
        <f>IF(A27="","",B27-F27)</f>
        <v/>
      </c>
      <c r="H27" s="60">
        <f>IF(OR(A27="",N(B27)=0),"",F27/B27)</f>
        <v/>
      </c>
      <c r="I27" s="52">
        <f>IF(A27="","",C27-D27)</f>
        <v/>
      </c>
      <c r="J27" s="51">
        <f>IF(A27="","",COUNTIFS(RECEPTION!$F$4:$F$50000,A27,RECEPTION!$W$4:$W$50000,"A VERIFIER"))</f>
        <v/>
      </c>
      <c r="K27" s="51">
        <f>IF(A27="","",COUNTIFS(RECEPTION!$F$4:$F$50000,A27,RECEPTION!$W$4:$W$50000,"REJETEE"))</f>
        <v/>
      </c>
      <c r="L27" s="61">
        <f>IF(A27="","",IF(_xlfn.MAXIFS(JOURNAL_IMPORTS!$A$4:$A$5000,JOURNAL_IMPORTS!$C$4:$C$5000,A27)=0,"Aucune",_xlfn.MAXIFS(JOURNAL_IMPORTS!$A$4:$A$5000,JOURNAL_IMPORTS!$C$4:$C$5000,A27)))</f>
        <v/>
      </c>
    </row>
    <row r="28" ht="15" customHeight="1" s="37">
      <c r="A28" s="59">
        <f>IF(PARAMETRES!E27="","",PARAMETRES!E27)</f>
        <v/>
      </c>
      <c r="B28" s="52">
        <f>IF(A28="","",SUMIFS(BUDGETS_SERVICES!$E$4:$E$20000,BUDGETS_SERVICES!$A$4:$A$20000,A28))</f>
        <v/>
      </c>
      <c r="C28" s="52">
        <f>IF(A28="","",SUMIFS(RECEPTION!$N$4:$N$50000,RECEPTION!$F$4:$F$50000,A28,RECEPTION!$W$4:$W$50000,"VALIDEE"))</f>
        <v/>
      </c>
      <c r="D28" s="52">
        <f>IF(A28="","",SUMIFS(RECEPTION!$O$4:$O$50000,RECEPTION!$F$4:$F$50000,A28,RECEPTION!$M$4:$M$50000,"Payée",RECEPTION!$W$4:$W$50000,"VALIDEE"))</f>
        <v/>
      </c>
      <c r="E28" s="52">
        <f>IF(A28="","",SUMIFS(RECEPTION!$O$4:$O$50000,RECEPTION!$F$4:$F$50000,A28,RECEPTION!$M$4:$M$50000,"Engagée",RECEPTION!$W$4:$W$50000,"VALIDEE"))</f>
        <v/>
      </c>
      <c r="F28" s="52">
        <f>IF(A28="","",D28+E28)</f>
        <v/>
      </c>
      <c r="G28" s="52">
        <f>IF(A28="","",B28-F28)</f>
        <v/>
      </c>
      <c r="H28" s="60">
        <f>IF(OR(A28="",N(B28)=0),"",F28/B28)</f>
        <v/>
      </c>
      <c r="I28" s="52">
        <f>IF(A28="","",C28-D28)</f>
        <v/>
      </c>
      <c r="J28" s="51">
        <f>IF(A28="","",COUNTIFS(RECEPTION!$F$4:$F$50000,A28,RECEPTION!$W$4:$W$50000,"A VERIFIER"))</f>
        <v/>
      </c>
      <c r="K28" s="51">
        <f>IF(A28="","",COUNTIFS(RECEPTION!$F$4:$F$50000,A28,RECEPTION!$W$4:$W$50000,"REJETEE"))</f>
        <v/>
      </c>
      <c r="L28" s="61">
        <f>IF(A28="","",IF(_xlfn.MAXIFS(JOURNAL_IMPORTS!$A$4:$A$5000,JOURNAL_IMPORTS!$C$4:$C$5000,A28)=0,"Aucune",_xlfn.MAXIFS(JOURNAL_IMPORTS!$A$4:$A$5000,JOURNAL_IMPORTS!$C$4:$C$5000,A28)))</f>
        <v/>
      </c>
    </row>
    <row r="29" ht="15" customHeight="1" s="37">
      <c r="A29" s="59">
        <f>IF(PARAMETRES!E28="","",PARAMETRES!E28)</f>
        <v/>
      </c>
      <c r="B29" s="52">
        <f>IF(A29="","",SUMIFS(BUDGETS_SERVICES!$E$4:$E$20000,BUDGETS_SERVICES!$A$4:$A$20000,A29))</f>
        <v/>
      </c>
      <c r="C29" s="52">
        <f>IF(A29="","",SUMIFS(RECEPTION!$N$4:$N$50000,RECEPTION!$F$4:$F$50000,A29,RECEPTION!$W$4:$W$50000,"VALIDEE"))</f>
        <v/>
      </c>
      <c r="D29" s="52">
        <f>IF(A29="","",SUMIFS(RECEPTION!$O$4:$O$50000,RECEPTION!$F$4:$F$50000,A29,RECEPTION!$M$4:$M$50000,"Payée",RECEPTION!$W$4:$W$50000,"VALIDEE"))</f>
        <v/>
      </c>
      <c r="E29" s="52">
        <f>IF(A29="","",SUMIFS(RECEPTION!$O$4:$O$50000,RECEPTION!$F$4:$F$50000,A29,RECEPTION!$M$4:$M$50000,"Engagée",RECEPTION!$W$4:$W$50000,"VALIDEE"))</f>
        <v/>
      </c>
      <c r="F29" s="52">
        <f>IF(A29="","",D29+E29)</f>
        <v/>
      </c>
      <c r="G29" s="52">
        <f>IF(A29="","",B29-F29)</f>
        <v/>
      </c>
      <c r="H29" s="60">
        <f>IF(OR(A29="",N(B29)=0),"",F29/B29)</f>
        <v/>
      </c>
      <c r="I29" s="52">
        <f>IF(A29="","",C29-D29)</f>
        <v/>
      </c>
      <c r="J29" s="51">
        <f>IF(A29="","",COUNTIFS(RECEPTION!$F$4:$F$50000,A29,RECEPTION!$W$4:$W$50000,"A VERIFIER"))</f>
        <v/>
      </c>
      <c r="K29" s="51">
        <f>IF(A29="","",COUNTIFS(RECEPTION!$F$4:$F$50000,A29,RECEPTION!$W$4:$W$50000,"REJETEE"))</f>
        <v/>
      </c>
      <c r="L29" s="61">
        <f>IF(A29="","",IF(_xlfn.MAXIFS(JOURNAL_IMPORTS!$A$4:$A$5000,JOURNAL_IMPORTS!$C$4:$C$5000,A29)=0,"Aucune",_xlfn.MAXIFS(JOURNAL_IMPORTS!$A$4:$A$5000,JOURNAL_IMPORTS!$C$4:$C$5000,A29)))</f>
        <v/>
      </c>
    </row>
    <row r="30" ht="15" customHeight="1" s="37">
      <c r="A30" s="59">
        <f>IF(PARAMETRES!E29="","",PARAMETRES!E29)</f>
        <v/>
      </c>
      <c r="B30" s="52">
        <f>IF(A30="","",SUMIFS(BUDGETS_SERVICES!$E$4:$E$20000,BUDGETS_SERVICES!$A$4:$A$20000,A30))</f>
        <v/>
      </c>
      <c r="C30" s="52">
        <f>IF(A30="","",SUMIFS(RECEPTION!$N$4:$N$50000,RECEPTION!$F$4:$F$50000,A30,RECEPTION!$W$4:$W$50000,"VALIDEE"))</f>
        <v/>
      </c>
      <c r="D30" s="52">
        <f>IF(A30="","",SUMIFS(RECEPTION!$O$4:$O$50000,RECEPTION!$F$4:$F$50000,A30,RECEPTION!$M$4:$M$50000,"Payée",RECEPTION!$W$4:$W$50000,"VALIDEE"))</f>
        <v/>
      </c>
      <c r="E30" s="52">
        <f>IF(A30="","",SUMIFS(RECEPTION!$O$4:$O$50000,RECEPTION!$F$4:$F$50000,A30,RECEPTION!$M$4:$M$50000,"Engagée",RECEPTION!$W$4:$W$50000,"VALIDEE"))</f>
        <v/>
      </c>
      <c r="F30" s="52">
        <f>IF(A30="","",D30+E30)</f>
        <v/>
      </c>
      <c r="G30" s="52">
        <f>IF(A30="","",B30-F30)</f>
        <v/>
      </c>
      <c r="H30" s="60">
        <f>IF(OR(A30="",N(B30)=0),"",F30/B30)</f>
        <v/>
      </c>
      <c r="I30" s="52">
        <f>IF(A30="","",C30-D30)</f>
        <v/>
      </c>
      <c r="J30" s="51">
        <f>IF(A30="","",COUNTIFS(RECEPTION!$F$4:$F$50000,A30,RECEPTION!$W$4:$W$50000,"A VERIFIER"))</f>
        <v/>
      </c>
      <c r="K30" s="51">
        <f>IF(A30="","",COUNTIFS(RECEPTION!$F$4:$F$50000,A30,RECEPTION!$W$4:$W$50000,"REJETEE"))</f>
        <v/>
      </c>
      <c r="L30" s="61">
        <f>IF(A30="","",IF(_xlfn.MAXIFS(JOURNAL_IMPORTS!$A$4:$A$5000,JOURNAL_IMPORTS!$C$4:$C$5000,A30)=0,"Aucune",_xlfn.MAXIFS(JOURNAL_IMPORTS!$A$4:$A$5000,JOURNAL_IMPORTS!$C$4:$C$5000,A30)))</f>
        <v/>
      </c>
    </row>
    <row r="31" ht="15" customHeight="1" s="37">
      <c r="A31" s="59">
        <f>IF(PARAMETRES!E30="","",PARAMETRES!E30)</f>
        <v/>
      </c>
      <c r="B31" s="52">
        <f>IF(A31="","",SUMIFS(BUDGETS_SERVICES!$E$4:$E$20000,BUDGETS_SERVICES!$A$4:$A$20000,A31))</f>
        <v/>
      </c>
      <c r="C31" s="52">
        <f>IF(A31="","",SUMIFS(RECEPTION!$N$4:$N$50000,RECEPTION!$F$4:$F$50000,A31,RECEPTION!$W$4:$W$50000,"VALIDEE"))</f>
        <v/>
      </c>
      <c r="D31" s="52">
        <f>IF(A31="","",SUMIFS(RECEPTION!$O$4:$O$50000,RECEPTION!$F$4:$F$50000,A31,RECEPTION!$M$4:$M$50000,"Payée",RECEPTION!$W$4:$W$50000,"VALIDEE"))</f>
        <v/>
      </c>
      <c r="E31" s="52">
        <f>IF(A31="","",SUMIFS(RECEPTION!$O$4:$O$50000,RECEPTION!$F$4:$F$50000,A31,RECEPTION!$M$4:$M$50000,"Engagée",RECEPTION!$W$4:$W$50000,"VALIDEE"))</f>
        <v/>
      </c>
      <c r="F31" s="52">
        <f>IF(A31="","",D31+E31)</f>
        <v/>
      </c>
      <c r="G31" s="52">
        <f>IF(A31="","",B31-F31)</f>
        <v/>
      </c>
      <c r="H31" s="60">
        <f>IF(OR(A31="",N(B31)=0),"",F31/B31)</f>
        <v/>
      </c>
      <c r="I31" s="52">
        <f>IF(A31="","",C31-D31)</f>
        <v/>
      </c>
      <c r="J31" s="51">
        <f>IF(A31="","",COUNTIFS(RECEPTION!$F$4:$F$50000,A31,RECEPTION!$W$4:$W$50000,"A VERIFIER"))</f>
        <v/>
      </c>
      <c r="K31" s="51">
        <f>IF(A31="","",COUNTIFS(RECEPTION!$F$4:$F$50000,A31,RECEPTION!$W$4:$W$50000,"REJETEE"))</f>
        <v/>
      </c>
      <c r="L31" s="61">
        <f>IF(A31="","",IF(_xlfn.MAXIFS(JOURNAL_IMPORTS!$A$4:$A$5000,JOURNAL_IMPORTS!$C$4:$C$5000,A31)=0,"Aucune",_xlfn.MAXIFS(JOURNAL_IMPORTS!$A$4:$A$5000,JOURNAL_IMPORTS!$C$4:$C$5000,A31)))</f>
        <v/>
      </c>
    </row>
    <row r="32" ht="15" customHeight="1" s="37">
      <c r="A32" s="59">
        <f>IF(PARAMETRES!E31="","",PARAMETRES!E31)</f>
        <v/>
      </c>
      <c r="B32" s="52">
        <f>IF(A32="","",SUMIFS(BUDGETS_SERVICES!$E$4:$E$20000,BUDGETS_SERVICES!$A$4:$A$20000,A32))</f>
        <v/>
      </c>
      <c r="C32" s="52">
        <f>IF(A32="","",SUMIFS(RECEPTION!$N$4:$N$50000,RECEPTION!$F$4:$F$50000,A32,RECEPTION!$W$4:$W$50000,"VALIDEE"))</f>
        <v/>
      </c>
      <c r="D32" s="52">
        <f>IF(A32="","",SUMIFS(RECEPTION!$O$4:$O$50000,RECEPTION!$F$4:$F$50000,A32,RECEPTION!$M$4:$M$50000,"Payée",RECEPTION!$W$4:$W$50000,"VALIDEE"))</f>
        <v/>
      </c>
      <c r="E32" s="52">
        <f>IF(A32="","",SUMIFS(RECEPTION!$O$4:$O$50000,RECEPTION!$F$4:$F$50000,A32,RECEPTION!$M$4:$M$50000,"Engagée",RECEPTION!$W$4:$W$50000,"VALIDEE"))</f>
        <v/>
      </c>
      <c r="F32" s="52">
        <f>IF(A32="","",D32+E32)</f>
        <v/>
      </c>
      <c r="G32" s="52">
        <f>IF(A32="","",B32-F32)</f>
        <v/>
      </c>
      <c r="H32" s="60">
        <f>IF(OR(A32="",N(B32)=0),"",F32/B32)</f>
        <v/>
      </c>
      <c r="I32" s="52">
        <f>IF(A32="","",C32-D32)</f>
        <v/>
      </c>
      <c r="J32" s="51">
        <f>IF(A32="","",COUNTIFS(RECEPTION!$F$4:$F$50000,A32,RECEPTION!$W$4:$W$50000,"A VERIFIER"))</f>
        <v/>
      </c>
      <c r="K32" s="51">
        <f>IF(A32="","",COUNTIFS(RECEPTION!$F$4:$F$50000,A32,RECEPTION!$W$4:$W$50000,"REJETEE"))</f>
        <v/>
      </c>
      <c r="L32" s="61">
        <f>IF(A32="","",IF(_xlfn.MAXIFS(JOURNAL_IMPORTS!$A$4:$A$5000,JOURNAL_IMPORTS!$C$4:$C$5000,A32)=0,"Aucune",_xlfn.MAXIFS(JOURNAL_IMPORTS!$A$4:$A$5000,JOURNAL_IMPORTS!$C$4:$C$5000,A32)))</f>
        <v/>
      </c>
    </row>
    <row r="33" ht="15" customHeight="1" s="37">
      <c r="A33" s="59">
        <f>IF(PARAMETRES!E32="","",PARAMETRES!E32)</f>
        <v/>
      </c>
      <c r="B33" s="52">
        <f>IF(A33="","",SUMIFS(BUDGETS_SERVICES!$E$4:$E$20000,BUDGETS_SERVICES!$A$4:$A$20000,A33))</f>
        <v/>
      </c>
      <c r="C33" s="52">
        <f>IF(A33="","",SUMIFS(RECEPTION!$N$4:$N$50000,RECEPTION!$F$4:$F$50000,A33,RECEPTION!$W$4:$W$50000,"VALIDEE"))</f>
        <v/>
      </c>
      <c r="D33" s="52">
        <f>IF(A33="","",SUMIFS(RECEPTION!$O$4:$O$50000,RECEPTION!$F$4:$F$50000,A33,RECEPTION!$M$4:$M$50000,"Payée",RECEPTION!$W$4:$W$50000,"VALIDEE"))</f>
        <v/>
      </c>
      <c r="E33" s="52">
        <f>IF(A33="","",SUMIFS(RECEPTION!$O$4:$O$50000,RECEPTION!$F$4:$F$50000,A33,RECEPTION!$M$4:$M$50000,"Engagée",RECEPTION!$W$4:$W$50000,"VALIDEE"))</f>
        <v/>
      </c>
      <c r="F33" s="52">
        <f>IF(A33="","",D33+E33)</f>
        <v/>
      </c>
      <c r="G33" s="52">
        <f>IF(A33="","",B33-F33)</f>
        <v/>
      </c>
      <c r="H33" s="60">
        <f>IF(OR(A33="",N(B33)=0),"",F33/B33)</f>
        <v/>
      </c>
      <c r="I33" s="52">
        <f>IF(A33="","",C33-D33)</f>
        <v/>
      </c>
      <c r="J33" s="51">
        <f>IF(A33="","",COUNTIFS(RECEPTION!$F$4:$F$50000,A33,RECEPTION!$W$4:$W$50000,"A VERIFIER"))</f>
        <v/>
      </c>
      <c r="K33" s="51">
        <f>IF(A33="","",COUNTIFS(RECEPTION!$F$4:$F$50000,A33,RECEPTION!$W$4:$W$50000,"REJETEE"))</f>
        <v/>
      </c>
      <c r="L33" s="61">
        <f>IF(A33="","",IF(_xlfn.MAXIFS(JOURNAL_IMPORTS!$A$4:$A$5000,JOURNAL_IMPORTS!$C$4:$C$5000,A33)=0,"Aucune",_xlfn.MAXIFS(JOURNAL_IMPORTS!$A$4:$A$5000,JOURNAL_IMPORTS!$C$4:$C$5000,A33)))</f>
        <v/>
      </c>
    </row>
    <row r="34" ht="15" customHeight="1" s="37">
      <c r="A34" s="59">
        <f>IF(PARAMETRES!E33="","",PARAMETRES!E33)</f>
        <v/>
      </c>
      <c r="B34" s="52">
        <f>IF(A34="","",SUMIFS(BUDGETS_SERVICES!$E$4:$E$20000,BUDGETS_SERVICES!$A$4:$A$20000,A34))</f>
        <v/>
      </c>
      <c r="C34" s="52">
        <f>IF(A34="","",SUMIFS(RECEPTION!$N$4:$N$50000,RECEPTION!$F$4:$F$50000,A34,RECEPTION!$W$4:$W$50000,"VALIDEE"))</f>
        <v/>
      </c>
      <c r="D34" s="52">
        <f>IF(A34="","",SUMIFS(RECEPTION!$O$4:$O$50000,RECEPTION!$F$4:$F$50000,A34,RECEPTION!$M$4:$M$50000,"Payée",RECEPTION!$W$4:$W$50000,"VALIDEE"))</f>
        <v/>
      </c>
      <c r="E34" s="52">
        <f>IF(A34="","",SUMIFS(RECEPTION!$O$4:$O$50000,RECEPTION!$F$4:$F$50000,A34,RECEPTION!$M$4:$M$50000,"Engagée",RECEPTION!$W$4:$W$50000,"VALIDEE"))</f>
        <v/>
      </c>
      <c r="F34" s="52">
        <f>IF(A34="","",D34+E34)</f>
        <v/>
      </c>
      <c r="G34" s="52">
        <f>IF(A34="","",B34-F34)</f>
        <v/>
      </c>
      <c r="H34" s="60">
        <f>IF(OR(A34="",N(B34)=0),"",F34/B34)</f>
        <v/>
      </c>
      <c r="I34" s="52">
        <f>IF(A34="","",C34-D34)</f>
        <v/>
      </c>
      <c r="J34" s="51">
        <f>IF(A34="","",COUNTIFS(RECEPTION!$F$4:$F$50000,A34,RECEPTION!$W$4:$W$50000,"A VERIFIER"))</f>
        <v/>
      </c>
      <c r="K34" s="51">
        <f>IF(A34="","",COUNTIFS(RECEPTION!$F$4:$F$50000,A34,RECEPTION!$W$4:$W$50000,"REJETEE"))</f>
        <v/>
      </c>
      <c r="L34" s="61">
        <f>IF(A34="","",IF(_xlfn.MAXIFS(JOURNAL_IMPORTS!$A$4:$A$5000,JOURNAL_IMPORTS!$C$4:$C$5000,A34)=0,"Aucune",_xlfn.MAXIFS(JOURNAL_IMPORTS!$A$4:$A$5000,JOURNAL_IMPORTS!$C$4:$C$5000,A34)))</f>
        <v/>
      </c>
    </row>
    <row r="35" ht="15" customHeight="1" s="37">
      <c r="A35" s="59">
        <f>IF(PARAMETRES!E34="","",PARAMETRES!E34)</f>
        <v/>
      </c>
      <c r="B35" s="52">
        <f>IF(A35="","",SUMIFS(BUDGETS_SERVICES!$E$4:$E$20000,BUDGETS_SERVICES!$A$4:$A$20000,A35))</f>
        <v/>
      </c>
      <c r="C35" s="52">
        <f>IF(A35="","",SUMIFS(RECEPTION!$N$4:$N$50000,RECEPTION!$F$4:$F$50000,A35,RECEPTION!$W$4:$W$50000,"VALIDEE"))</f>
        <v/>
      </c>
      <c r="D35" s="52">
        <f>IF(A35="","",SUMIFS(RECEPTION!$O$4:$O$50000,RECEPTION!$F$4:$F$50000,A35,RECEPTION!$M$4:$M$50000,"Payée",RECEPTION!$W$4:$W$50000,"VALIDEE"))</f>
        <v/>
      </c>
      <c r="E35" s="52">
        <f>IF(A35="","",SUMIFS(RECEPTION!$O$4:$O$50000,RECEPTION!$F$4:$F$50000,A35,RECEPTION!$M$4:$M$50000,"Engagée",RECEPTION!$W$4:$W$50000,"VALIDEE"))</f>
        <v/>
      </c>
      <c r="F35" s="52">
        <f>IF(A35="","",D35+E35)</f>
        <v/>
      </c>
      <c r="G35" s="52">
        <f>IF(A35="","",B35-F35)</f>
        <v/>
      </c>
      <c r="H35" s="60">
        <f>IF(OR(A35="",N(B35)=0),"",F35/B35)</f>
        <v/>
      </c>
      <c r="I35" s="52">
        <f>IF(A35="","",C35-D35)</f>
        <v/>
      </c>
      <c r="J35" s="51">
        <f>IF(A35="","",COUNTIFS(RECEPTION!$F$4:$F$50000,A35,RECEPTION!$W$4:$W$50000,"A VERIFIER"))</f>
        <v/>
      </c>
      <c r="K35" s="51">
        <f>IF(A35="","",COUNTIFS(RECEPTION!$F$4:$F$50000,A35,RECEPTION!$W$4:$W$50000,"REJETEE"))</f>
        <v/>
      </c>
      <c r="L35" s="61">
        <f>IF(A35="","",IF(_xlfn.MAXIFS(JOURNAL_IMPORTS!$A$4:$A$5000,JOURNAL_IMPORTS!$C$4:$C$5000,A35)=0,"Aucune",_xlfn.MAXIFS(JOURNAL_IMPORTS!$A$4:$A$5000,JOURNAL_IMPORTS!$C$4:$C$5000,A35)))</f>
        <v/>
      </c>
    </row>
    <row r="36" ht="15" customHeight="1" s="37">
      <c r="A36" s="59">
        <f>IF(PARAMETRES!E35="","",PARAMETRES!E35)</f>
        <v/>
      </c>
      <c r="B36" s="52">
        <f>IF(A36="","",SUMIFS(BUDGETS_SERVICES!$E$4:$E$20000,BUDGETS_SERVICES!$A$4:$A$20000,A36))</f>
        <v/>
      </c>
      <c r="C36" s="52">
        <f>IF(A36="","",SUMIFS(RECEPTION!$N$4:$N$50000,RECEPTION!$F$4:$F$50000,A36,RECEPTION!$W$4:$W$50000,"VALIDEE"))</f>
        <v/>
      </c>
      <c r="D36" s="52">
        <f>IF(A36="","",SUMIFS(RECEPTION!$O$4:$O$50000,RECEPTION!$F$4:$F$50000,A36,RECEPTION!$M$4:$M$50000,"Payée",RECEPTION!$W$4:$W$50000,"VALIDEE"))</f>
        <v/>
      </c>
      <c r="E36" s="52">
        <f>IF(A36="","",SUMIFS(RECEPTION!$O$4:$O$50000,RECEPTION!$F$4:$F$50000,A36,RECEPTION!$M$4:$M$50000,"Engagée",RECEPTION!$W$4:$W$50000,"VALIDEE"))</f>
        <v/>
      </c>
      <c r="F36" s="52">
        <f>IF(A36="","",D36+E36)</f>
        <v/>
      </c>
      <c r="G36" s="52">
        <f>IF(A36="","",B36-F36)</f>
        <v/>
      </c>
      <c r="H36" s="60">
        <f>IF(OR(A36="",N(B36)=0),"",F36/B36)</f>
        <v/>
      </c>
      <c r="I36" s="52">
        <f>IF(A36="","",C36-D36)</f>
        <v/>
      </c>
      <c r="J36" s="51">
        <f>IF(A36="","",COUNTIFS(RECEPTION!$F$4:$F$50000,A36,RECEPTION!$W$4:$W$50000,"A VERIFIER"))</f>
        <v/>
      </c>
      <c r="K36" s="51">
        <f>IF(A36="","",COUNTIFS(RECEPTION!$F$4:$F$50000,A36,RECEPTION!$W$4:$W$50000,"REJETEE"))</f>
        <v/>
      </c>
      <c r="L36" s="61">
        <f>IF(A36="","",IF(_xlfn.MAXIFS(JOURNAL_IMPORTS!$A$4:$A$5000,JOURNAL_IMPORTS!$C$4:$C$5000,A36)=0,"Aucune",_xlfn.MAXIFS(JOURNAL_IMPORTS!$A$4:$A$5000,JOURNAL_IMPORTS!$C$4:$C$5000,A36)))</f>
        <v/>
      </c>
    </row>
    <row r="37" ht="15" customHeight="1" s="37">
      <c r="A37" s="59">
        <f>IF(PARAMETRES!E36="","",PARAMETRES!E36)</f>
        <v/>
      </c>
      <c r="B37" s="52">
        <f>IF(A37="","",SUMIFS(BUDGETS_SERVICES!$E$4:$E$20000,BUDGETS_SERVICES!$A$4:$A$20000,A37))</f>
        <v/>
      </c>
      <c r="C37" s="52">
        <f>IF(A37="","",SUMIFS(RECEPTION!$N$4:$N$50000,RECEPTION!$F$4:$F$50000,A37,RECEPTION!$W$4:$W$50000,"VALIDEE"))</f>
        <v/>
      </c>
      <c r="D37" s="52">
        <f>IF(A37="","",SUMIFS(RECEPTION!$O$4:$O$50000,RECEPTION!$F$4:$F$50000,A37,RECEPTION!$M$4:$M$50000,"Payée",RECEPTION!$W$4:$W$50000,"VALIDEE"))</f>
        <v/>
      </c>
      <c r="E37" s="52">
        <f>IF(A37="","",SUMIFS(RECEPTION!$O$4:$O$50000,RECEPTION!$F$4:$F$50000,A37,RECEPTION!$M$4:$M$50000,"Engagée",RECEPTION!$W$4:$W$50000,"VALIDEE"))</f>
        <v/>
      </c>
      <c r="F37" s="52">
        <f>IF(A37="","",D37+E37)</f>
        <v/>
      </c>
      <c r="G37" s="52">
        <f>IF(A37="","",B37-F37)</f>
        <v/>
      </c>
      <c r="H37" s="60">
        <f>IF(OR(A37="",N(B37)=0),"",F37/B37)</f>
        <v/>
      </c>
      <c r="I37" s="52">
        <f>IF(A37="","",C37-D37)</f>
        <v/>
      </c>
      <c r="J37" s="51">
        <f>IF(A37="","",COUNTIFS(RECEPTION!$F$4:$F$50000,A37,RECEPTION!$W$4:$W$50000,"A VERIFIER"))</f>
        <v/>
      </c>
      <c r="K37" s="51">
        <f>IF(A37="","",COUNTIFS(RECEPTION!$F$4:$F$50000,A37,RECEPTION!$W$4:$W$50000,"REJETEE"))</f>
        <v/>
      </c>
      <c r="L37" s="61">
        <f>IF(A37="","",IF(_xlfn.MAXIFS(JOURNAL_IMPORTS!$A$4:$A$5000,JOURNAL_IMPORTS!$C$4:$C$5000,A37)=0,"Aucune",_xlfn.MAXIFS(JOURNAL_IMPORTS!$A$4:$A$5000,JOURNAL_IMPORTS!$C$4:$C$5000,A37)))</f>
        <v/>
      </c>
    </row>
    <row r="38" ht="15" customHeight="1" s="37">
      <c r="A38" s="59">
        <f>IF(PARAMETRES!E37="","",PARAMETRES!E37)</f>
        <v/>
      </c>
      <c r="B38" s="52">
        <f>IF(A38="","",SUMIFS(BUDGETS_SERVICES!$E$4:$E$20000,BUDGETS_SERVICES!$A$4:$A$20000,A38))</f>
        <v/>
      </c>
      <c r="C38" s="52">
        <f>IF(A38="","",SUMIFS(RECEPTION!$N$4:$N$50000,RECEPTION!$F$4:$F$50000,A38,RECEPTION!$W$4:$W$50000,"VALIDEE"))</f>
        <v/>
      </c>
      <c r="D38" s="52">
        <f>IF(A38="","",SUMIFS(RECEPTION!$O$4:$O$50000,RECEPTION!$F$4:$F$50000,A38,RECEPTION!$M$4:$M$50000,"Payée",RECEPTION!$W$4:$W$50000,"VALIDEE"))</f>
        <v/>
      </c>
      <c r="E38" s="52">
        <f>IF(A38="","",SUMIFS(RECEPTION!$O$4:$O$50000,RECEPTION!$F$4:$F$50000,A38,RECEPTION!$M$4:$M$50000,"Engagée",RECEPTION!$W$4:$W$50000,"VALIDEE"))</f>
        <v/>
      </c>
      <c r="F38" s="52">
        <f>IF(A38="","",D38+E38)</f>
        <v/>
      </c>
      <c r="G38" s="52">
        <f>IF(A38="","",B38-F38)</f>
        <v/>
      </c>
      <c r="H38" s="60">
        <f>IF(OR(A38="",N(B38)=0),"",F38/B38)</f>
        <v/>
      </c>
      <c r="I38" s="52">
        <f>IF(A38="","",C38-D38)</f>
        <v/>
      </c>
      <c r="J38" s="51">
        <f>IF(A38="","",COUNTIFS(RECEPTION!$F$4:$F$50000,A38,RECEPTION!$W$4:$W$50000,"A VERIFIER"))</f>
        <v/>
      </c>
      <c r="K38" s="51">
        <f>IF(A38="","",COUNTIFS(RECEPTION!$F$4:$F$50000,A38,RECEPTION!$W$4:$W$50000,"REJETEE"))</f>
        <v/>
      </c>
      <c r="L38" s="61">
        <f>IF(A38="","",IF(_xlfn.MAXIFS(JOURNAL_IMPORTS!$A$4:$A$5000,JOURNAL_IMPORTS!$C$4:$C$5000,A38)=0,"Aucune",_xlfn.MAXIFS(JOURNAL_IMPORTS!$A$4:$A$5000,JOURNAL_IMPORTS!$C$4:$C$5000,A38)))</f>
        <v/>
      </c>
    </row>
    <row r="39" ht="15" customHeight="1" s="37">
      <c r="A39" s="59">
        <f>IF(PARAMETRES!E38="","",PARAMETRES!E38)</f>
        <v/>
      </c>
      <c r="B39" s="52">
        <f>IF(A39="","",SUMIFS(BUDGETS_SERVICES!$E$4:$E$20000,BUDGETS_SERVICES!$A$4:$A$20000,A39))</f>
        <v/>
      </c>
      <c r="C39" s="52">
        <f>IF(A39="","",SUMIFS(RECEPTION!$N$4:$N$50000,RECEPTION!$F$4:$F$50000,A39,RECEPTION!$W$4:$W$50000,"VALIDEE"))</f>
        <v/>
      </c>
      <c r="D39" s="52">
        <f>IF(A39="","",SUMIFS(RECEPTION!$O$4:$O$50000,RECEPTION!$F$4:$F$50000,A39,RECEPTION!$M$4:$M$50000,"Payée",RECEPTION!$W$4:$W$50000,"VALIDEE"))</f>
        <v/>
      </c>
      <c r="E39" s="52">
        <f>IF(A39="","",SUMIFS(RECEPTION!$O$4:$O$50000,RECEPTION!$F$4:$F$50000,A39,RECEPTION!$M$4:$M$50000,"Engagée",RECEPTION!$W$4:$W$50000,"VALIDEE"))</f>
        <v/>
      </c>
      <c r="F39" s="52">
        <f>IF(A39="","",D39+E39)</f>
        <v/>
      </c>
      <c r="G39" s="52">
        <f>IF(A39="","",B39-F39)</f>
        <v/>
      </c>
      <c r="H39" s="60">
        <f>IF(OR(A39="",N(B39)=0),"",F39/B39)</f>
        <v/>
      </c>
      <c r="I39" s="52">
        <f>IF(A39="","",C39-D39)</f>
        <v/>
      </c>
      <c r="J39" s="51">
        <f>IF(A39="","",COUNTIFS(RECEPTION!$F$4:$F$50000,A39,RECEPTION!$W$4:$W$50000,"A VERIFIER"))</f>
        <v/>
      </c>
      <c r="K39" s="51">
        <f>IF(A39="","",COUNTIFS(RECEPTION!$F$4:$F$50000,A39,RECEPTION!$W$4:$W$50000,"REJETEE"))</f>
        <v/>
      </c>
      <c r="L39" s="61">
        <f>IF(A39="","",IF(_xlfn.MAXIFS(JOURNAL_IMPORTS!$A$4:$A$5000,JOURNAL_IMPORTS!$C$4:$C$5000,A39)=0,"Aucune",_xlfn.MAXIFS(JOURNAL_IMPORTS!$A$4:$A$5000,JOURNAL_IMPORTS!$C$4:$C$5000,A39)))</f>
        <v/>
      </c>
    </row>
    <row r="40" ht="15" customHeight="1" s="37">
      <c r="A40" s="59">
        <f>IF(PARAMETRES!E39="","",PARAMETRES!E39)</f>
        <v/>
      </c>
      <c r="B40" s="52">
        <f>IF(A40="","",SUMIFS(BUDGETS_SERVICES!$E$4:$E$20000,BUDGETS_SERVICES!$A$4:$A$20000,A40))</f>
        <v/>
      </c>
      <c r="C40" s="52">
        <f>IF(A40="","",SUMIFS(RECEPTION!$N$4:$N$50000,RECEPTION!$F$4:$F$50000,A40,RECEPTION!$W$4:$W$50000,"VALIDEE"))</f>
        <v/>
      </c>
      <c r="D40" s="52">
        <f>IF(A40="","",SUMIFS(RECEPTION!$O$4:$O$50000,RECEPTION!$F$4:$F$50000,A40,RECEPTION!$M$4:$M$50000,"Payée",RECEPTION!$W$4:$W$50000,"VALIDEE"))</f>
        <v/>
      </c>
      <c r="E40" s="52">
        <f>IF(A40="","",SUMIFS(RECEPTION!$O$4:$O$50000,RECEPTION!$F$4:$F$50000,A40,RECEPTION!$M$4:$M$50000,"Engagée",RECEPTION!$W$4:$W$50000,"VALIDEE"))</f>
        <v/>
      </c>
      <c r="F40" s="52">
        <f>IF(A40="","",D40+E40)</f>
        <v/>
      </c>
      <c r="G40" s="52">
        <f>IF(A40="","",B40-F40)</f>
        <v/>
      </c>
      <c r="H40" s="60">
        <f>IF(OR(A40="",N(B40)=0),"",F40/B40)</f>
        <v/>
      </c>
      <c r="I40" s="52">
        <f>IF(A40="","",C40-D40)</f>
        <v/>
      </c>
      <c r="J40" s="51">
        <f>IF(A40="","",COUNTIFS(RECEPTION!$F$4:$F$50000,A40,RECEPTION!$W$4:$W$50000,"A VERIFIER"))</f>
        <v/>
      </c>
      <c r="K40" s="51">
        <f>IF(A40="","",COUNTIFS(RECEPTION!$F$4:$F$50000,A40,RECEPTION!$W$4:$W$50000,"REJETEE"))</f>
        <v/>
      </c>
      <c r="L40" s="61">
        <f>IF(A40="","",IF(_xlfn.MAXIFS(JOURNAL_IMPORTS!$A$4:$A$5000,JOURNAL_IMPORTS!$C$4:$C$5000,A40)=0,"Aucune",_xlfn.MAXIFS(JOURNAL_IMPORTS!$A$4:$A$5000,JOURNAL_IMPORTS!$C$4:$C$5000,A40)))</f>
        <v/>
      </c>
    </row>
    <row r="41" ht="15" customHeight="1" s="37">
      <c r="A41" s="59">
        <f>IF(PARAMETRES!E40="","",PARAMETRES!E40)</f>
        <v/>
      </c>
      <c r="B41" s="52">
        <f>IF(A41="","",SUMIFS(BUDGETS_SERVICES!$E$4:$E$20000,BUDGETS_SERVICES!$A$4:$A$20000,A41))</f>
        <v/>
      </c>
      <c r="C41" s="52">
        <f>IF(A41="","",SUMIFS(RECEPTION!$N$4:$N$50000,RECEPTION!$F$4:$F$50000,A41,RECEPTION!$W$4:$W$50000,"VALIDEE"))</f>
        <v/>
      </c>
      <c r="D41" s="52">
        <f>IF(A41="","",SUMIFS(RECEPTION!$O$4:$O$50000,RECEPTION!$F$4:$F$50000,A41,RECEPTION!$M$4:$M$50000,"Payée",RECEPTION!$W$4:$W$50000,"VALIDEE"))</f>
        <v/>
      </c>
      <c r="E41" s="52">
        <f>IF(A41="","",SUMIFS(RECEPTION!$O$4:$O$50000,RECEPTION!$F$4:$F$50000,A41,RECEPTION!$M$4:$M$50000,"Engagée",RECEPTION!$W$4:$W$50000,"VALIDEE"))</f>
        <v/>
      </c>
      <c r="F41" s="52">
        <f>IF(A41="","",D41+E41)</f>
        <v/>
      </c>
      <c r="G41" s="52">
        <f>IF(A41="","",B41-F41)</f>
        <v/>
      </c>
      <c r="H41" s="60">
        <f>IF(OR(A41="",N(B41)=0),"",F41/B41)</f>
        <v/>
      </c>
      <c r="I41" s="52">
        <f>IF(A41="","",C41-D41)</f>
        <v/>
      </c>
      <c r="J41" s="51">
        <f>IF(A41="","",COUNTIFS(RECEPTION!$F$4:$F$50000,A41,RECEPTION!$W$4:$W$50000,"A VERIFIER"))</f>
        <v/>
      </c>
      <c r="K41" s="51">
        <f>IF(A41="","",COUNTIFS(RECEPTION!$F$4:$F$50000,A41,RECEPTION!$W$4:$W$50000,"REJETEE"))</f>
        <v/>
      </c>
      <c r="L41" s="61">
        <f>IF(A41="","",IF(_xlfn.MAXIFS(JOURNAL_IMPORTS!$A$4:$A$5000,JOURNAL_IMPORTS!$C$4:$C$5000,A41)=0,"Aucune",_xlfn.MAXIFS(JOURNAL_IMPORTS!$A$4:$A$5000,JOURNAL_IMPORTS!$C$4:$C$5000,A41)))</f>
        <v/>
      </c>
    </row>
    <row r="42" ht="15" customHeight="1" s="37">
      <c r="A42" s="59">
        <f>IF(PARAMETRES!E41="","",PARAMETRES!E41)</f>
        <v/>
      </c>
      <c r="B42" s="52">
        <f>IF(A42="","",SUMIFS(BUDGETS_SERVICES!$E$4:$E$20000,BUDGETS_SERVICES!$A$4:$A$20000,A42))</f>
        <v/>
      </c>
      <c r="C42" s="52">
        <f>IF(A42="","",SUMIFS(RECEPTION!$N$4:$N$50000,RECEPTION!$F$4:$F$50000,A42,RECEPTION!$W$4:$W$50000,"VALIDEE"))</f>
        <v/>
      </c>
      <c r="D42" s="52">
        <f>IF(A42="","",SUMIFS(RECEPTION!$O$4:$O$50000,RECEPTION!$F$4:$F$50000,A42,RECEPTION!$M$4:$M$50000,"Payée",RECEPTION!$W$4:$W$50000,"VALIDEE"))</f>
        <v/>
      </c>
      <c r="E42" s="52">
        <f>IF(A42="","",SUMIFS(RECEPTION!$O$4:$O$50000,RECEPTION!$F$4:$F$50000,A42,RECEPTION!$M$4:$M$50000,"Engagée",RECEPTION!$W$4:$W$50000,"VALIDEE"))</f>
        <v/>
      </c>
      <c r="F42" s="52">
        <f>IF(A42="","",D42+E42)</f>
        <v/>
      </c>
      <c r="G42" s="52">
        <f>IF(A42="","",B42-F42)</f>
        <v/>
      </c>
      <c r="H42" s="60">
        <f>IF(OR(A42="",N(B42)=0),"",F42/B42)</f>
        <v/>
      </c>
      <c r="I42" s="52">
        <f>IF(A42="","",C42-D42)</f>
        <v/>
      </c>
      <c r="J42" s="51">
        <f>IF(A42="","",COUNTIFS(RECEPTION!$F$4:$F$50000,A42,RECEPTION!$W$4:$W$50000,"A VERIFIER"))</f>
        <v/>
      </c>
      <c r="K42" s="51">
        <f>IF(A42="","",COUNTIFS(RECEPTION!$F$4:$F$50000,A42,RECEPTION!$W$4:$W$50000,"REJETEE"))</f>
        <v/>
      </c>
      <c r="L42" s="61">
        <f>IF(A42="","",IF(_xlfn.MAXIFS(JOURNAL_IMPORTS!$A$4:$A$5000,JOURNAL_IMPORTS!$C$4:$C$5000,A42)=0,"Aucune",_xlfn.MAXIFS(JOURNAL_IMPORTS!$A$4:$A$5000,JOURNAL_IMPORTS!$C$4:$C$5000,A42)))</f>
        <v/>
      </c>
    </row>
    <row r="43" ht="15" customHeight="1" s="37">
      <c r="A43" s="59">
        <f>IF(PARAMETRES!E42="","",PARAMETRES!E42)</f>
        <v/>
      </c>
      <c r="B43" s="52">
        <f>IF(A43="","",SUMIFS(BUDGETS_SERVICES!$E$4:$E$20000,BUDGETS_SERVICES!$A$4:$A$20000,A43))</f>
        <v/>
      </c>
      <c r="C43" s="52">
        <f>IF(A43="","",SUMIFS(RECEPTION!$N$4:$N$50000,RECEPTION!$F$4:$F$50000,A43,RECEPTION!$W$4:$W$50000,"VALIDEE"))</f>
        <v/>
      </c>
      <c r="D43" s="52">
        <f>IF(A43="","",SUMIFS(RECEPTION!$O$4:$O$50000,RECEPTION!$F$4:$F$50000,A43,RECEPTION!$M$4:$M$50000,"Payée",RECEPTION!$W$4:$W$50000,"VALIDEE"))</f>
        <v/>
      </c>
      <c r="E43" s="52">
        <f>IF(A43="","",SUMIFS(RECEPTION!$O$4:$O$50000,RECEPTION!$F$4:$F$50000,A43,RECEPTION!$M$4:$M$50000,"Engagée",RECEPTION!$W$4:$W$50000,"VALIDEE"))</f>
        <v/>
      </c>
      <c r="F43" s="52">
        <f>IF(A43="","",D43+E43)</f>
        <v/>
      </c>
      <c r="G43" s="52">
        <f>IF(A43="","",B43-F43)</f>
        <v/>
      </c>
      <c r="H43" s="60">
        <f>IF(OR(A43="",N(B43)=0),"",F43/B43)</f>
        <v/>
      </c>
      <c r="I43" s="52">
        <f>IF(A43="","",C43-D43)</f>
        <v/>
      </c>
      <c r="J43" s="51">
        <f>IF(A43="","",COUNTIFS(RECEPTION!$F$4:$F$50000,A43,RECEPTION!$W$4:$W$50000,"A VERIFIER"))</f>
        <v/>
      </c>
      <c r="K43" s="51">
        <f>IF(A43="","",COUNTIFS(RECEPTION!$F$4:$F$50000,A43,RECEPTION!$W$4:$W$50000,"REJETEE"))</f>
        <v/>
      </c>
      <c r="L43" s="61">
        <f>IF(A43="","",IF(_xlfn.MAXIFS(JOURNAL_IMPORTS!$A$4:$A$5000,JOURNAL_IMPORTS!$C$4:$C$5000,A43)=0,"Aucune",_xlfn.MAXIFS(JOURNAL_IMPORTS!$A$4:$A$5000,JOURNAL_IMPORTS!$C$4:$C$5000,A43)))</f>
        <v/>
      </c>
    </row>
    <row r="44" ht="15" customHeight="1" s="37">
      <c r="A44" s="59">
        <f>IF(PARAMETRES!E43="","",PARAMETRES!E43)</f>
        <v/>
      </c>
      <c r="B44" s="52">
        <f>IF(A44="","",SUMIFS(BUDGETS_SERVICES!$E$4:$E$20000,BUDGETS_SERVICES!$A$4:$A$20000,A44))</f>
        <v/>
      </c>
      <c r="C44" s="52">
        <f>IF(A44="","",SUMIFS(RECEPTION!$N$4:$N$50000,RECEPTION!$F$4:$F$50000,A44,RECEPTION!$W$4:$W$50000,"VALIDEE"))</f>
        <v/>
      </c>
      <c r="D44" s="52">
        <f>IF(A44="","",SUMIFS(RECEPTION!$O$4:$O$50000,RECEPTION!$F$4:$F$50000,A44,RECEPTION!$M$4:$M$50000,"Payée",RECEPTION!$W$4:$W$50000,"VALIDEE"))</f>
        <v/>
      </c>
      <c r="E44" s="52">
        <f>IF(A44="","",SUMIFS(RECEPTION!$O$4:$O$50000,RECEPTION!$F$4:$F$50000,A44,RECEPTION!$M$4:$M$50000,"Engagée",RECEPTION!$W$4:$W$50000,"VALIDEE"))</f>
        <v/>
      </c>
      <c r="F44" s="52">
        <f>IF(A44="","",D44+E44)</f>
        <v/>
      </c>
      <c r="G44" s="52">
        <f>IF(A44="","",B44-F44)</f>
        <v/>
      </c>
      <c r="H44" s="60">
        <f>IF(OR(A44="",N(B44)=0),"",F44/B44)</f>
        <v/>
      </c>
      <c r="I44" s="52">
        <f>IF(A44="","",C44-D44)</f>
        <v/>
      </c>
      <c r="J44" s="51">
        <f>IF(A44="","",COUNTIFS(RECEPTION!$F$4:$F$50000,A44,RECEPTION!$W$4:$W$50000,"A VERIFIER"))</f>
        <v/>
      </c>
      <c r="K44" s="51">
        <f>IF(A44="","",COUNTIFS(RECEPTION!$F$4:$F$50000,A44,RECEPTION!$W$4:$W$50000,"REJETEE"))</f>
        <v/>
      </c>
      <c r="L44" s="61">
        <f>IF(A44="","",IF(_xlfn.MAXIFS(JOURNAL_IMPORTS!$A$4:$A$5000,JOURNAL_IMPORTS!$C$4:$C$5000,A44)=0,"Aucune",_xlfn.MAXIFS(JOURNAL_IMPORTS!$A$4:$A$5000,JOURNAL_IMPORTS!$C$4:$C$5000,A44)))</f>
        <v/>
      </c>
    </row>
  </sheetData>
  <conditionalFormatting sqref="G5:G44">
    <cfRule type="cellIs" rank="0" priority="2" equalAverage="0" operator="lessThan" aboveAverage="0" dxfId="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6" min="1" max="1"/>
    <col width="26" customWidth="1" style="36" min="2" max="6"/>
  </cols>
  <sheetData>
    <row r="1" ht="17.35" customHeight="1" s="37">
      <c r="B1" s="46">
        <f>"TABLEAU DE BORD GÉNÉRAL — Exercice "&amp;C_EXERCICE</f>
        <v/>
      </c>
    </row>
    <row r="2" ht="15" customHeight="1" s="37">
      <c r="B2" s="40" t="inlineStr">
        <is>
          <t>Écritures validées uniquement. Actualiser après chaque import / validation.</t>
        </is>
      </c>
    </row>
    <row r="4" ht="15" customHeight="1" s="37">
      <c r="B4" s="62" t="inlineStr">
        <is>
          <t>Budget total</t>
        </is>
      </c>
      <c r="C4" s="62" t="inlineStr">
        <is>
          <t>Total consommé</t>
        </is>
      </c>
      <c r="D4" s="62" t="inlineStr">
        <is>
          <t>Disponible</t>
        </is>
      </c>
      <c r="E4" s="62" t="inlineStr">
        <is>
          <t>Taux d'exécution</t>
        </is>
      </c>
      <c r="F4" s="62" t="inlineStr">
        <is>
          <t>Entrées (approvisionnements)</t>
        </is>
      </c>
    </row>
    <row r="5" ht="27.75" customHeight="1" s="37">
      <c r="B5" s="63">
        <f>CONSOLIDATION!B4</f>
        <v/>
      </c>
      <c r="C5" s="63">
        <f>CONSOLIDATION!F4</f>
        <v/>
      </c>
      <c r="D5" s="63">
        <f>CONSOLIDATION!G4</f>
        <v/>
      </c>
      <c r="E5" s="64">
        <f>IF(CONSOLIDATION!B4=0,"",CONSOLIDATION!F4/CONSOLIDATION!B4)</f>
        <v/>
      </c>
      <c r="F5" s="63">
        <f>CONSOLIDATION!C4</f>
        <v/>
      </c>
    </row>
    <row r="7" ht="15" customHeight="1" s="37">
      <c r="B7" s="62" t="inlineStr">
        <is>
          <t>Solde de caisse consolidé</t>
        </is>
      </c>
      <c r="C7" s="62" t="inlineStr">
        <is>
          <t>Services ayant transmis</t>
        </is>
      </c>
      <c r="D7" s="62" t="inlineStr">
        <is>
          <t>Écritures à vérifier</t>
        </is>
      </c>
      <c r="E7" s="62" t="inlineStr">
        <is>
          <t>Écritures avec anomalie</t>
        </is>
      </c>
      <c r="F7" s="62" t="inlineStr">
        <is>
          <t>Écritures rejetées</t>
        </is>
      </c>
    </row>
    <row r="8" ht="27.75" customHeight="1" s="37">
      <c r="B8" s="63">
        <f>CONSOLIDATION!I4</f>
        <v/>
      </c>
      <c r="C8" s="65">
        <f>COUNT(CONSOLIDATION!L5:L44)&amp;" / "&amp;COUNTIF(CONSOLIDATION!A5:A44,"?*")</f>
        <v/>
      </c>
      <c r="D8" s="66">
        <f>CONSOLIDATION!J4</f>
        <v/>
      </c>
      <c r="E8" s="66">
        <f>VERIFICATION!B7</f>
        <v/>
      </c>
      <c r="F8" s="66">
        <f>CONSOLIDATION!K4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6" min="1" max="1"/>
    <col width="14" customWidth="1" style="36" min="2" max="2"/>
    <col width="36" customWidth="1" style="36" min="3" max="3"/>
    <col width="30" customWidth="1" style="36" min="4" max="4"/>
    <col width="18" customWidth="1" style="36" min="5" max="5"/>
    <col width="26" customWidth="1" style="36" min="6" max="6"/>
    <col width="18" customWidth="1" style="36" min="7" max="7"/>
  </cols>
  <sheetData>
    <row r="1" ht="33.75" customHeight="1" s="37">
      <c r="A1" s="46" t="inlineStr">
        <is>
          <t>BUDGETS DES SERVICES (reçus avec les transmissions)</t>
        </is>
      </c>
    </row>
    <row r="2" ht="15" customHeight="1" s="37">
      <c r="A2" s="40" t="inlineStr">
        <is>
          <t>Remplacés à chaque transmission du service concerné.</t>
        </is>
      </c>
    </row>
    <row r="3" ht="30" customHeight="1" s="37">
      <c r="A3" s="47" t="inlineStr">
        <is>
          <t>Service</t>
        </is>
      </c>
      <c r="B3" s="47" t="inlineStr">
        <is>
          <t>Code rubrique</t>
        </is>
      </c>
      <c r="C3" s="47" t="inlineStr">
        <is>
          <t>Libellé rubrique</t>
        </is>
      </c>
      <c r="D3" s="47" t="inlineStr">
        <is>
          <t>Catégorie</t>
        </is>
      </c>
      <c r="E3" s="47" t="inlineStr">
        <is>
          <t>Budget annuel (CDF)</t>
        </is>
      </c>
      <c r="F3" s="47" t="inlineStr">
        <is>
          <t>ID_TRANSMISSION</t>
        </is>
      </c>
      <c r="G3" s="47" t="inlineStr">
        <is>
          <t>Date de réception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K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6" min="1" max="1"/>
    <col width="40" customWidth="1" style="36" min="2" max="2"/>
    <col width="22" customWidth="1" style="36" min="3" max="3"/>
    <col width="28" customWidth="1" style="36" min="4" max="4"/>
    <col width="11" customWidth="1" style="36" min="5" max="9"/>
    <col width="14" customWidth="1" style="36" min="10" max="10"/>
    <col width="40" customWidth="1" style="36" min="11" max="11"/>
  </cols>
  <sheetData>
    <row r="1" ht="33.75" customHeight="1" s="37">
      <c r="A1" s="46" t="inlineStr">
        <is>
          <t>JOURNAL DES IMPORTS</t>
        </is>
      </c>
    </row>
    <row r="2" ht="15" customHeight="1" s="37">
      <c r="A2" s="40" t="inlineStr">
        <is>
          <t>Un fichier déjà présent dans ce journal n'est jamais réimporté.</t>
        </is>
      </c>
    </row>
    <row r="3" ht="30" customHeight="1" s="37">
      <c r="A3" s="47" t="inlineStr">
        <is>
          <t>Date import</t>
        </is>
      </c>
      <c r="B3" s="47" t="inlineStr">
        <is>
          <t>Fichier</t>
        </is>
      </c>
      <c r="C3" s="47" t="inlineStr">
        <is>
          <t>Service</t>
        </is>
      </c>
      <c r="D3" s="47" t="inlineStr">
        <is>
          <t>ID_TRANSMISSION</t>
        </is>
      </c>
      <c r="E3" s="47" t="inlineStr">
        <is>
          <t>Lignes annoncées</t>
        </is>
      </c>
      <c r="F3" s="47" t="inlineStr">
        <is>
          <t>Lignes lues</t>
        </is>
      </c>
      <c r="G3" s="47" t="inlineStr">
        <is>
          <t>Nouvelles</t>
        </is>
      </c>
      <c r="H3" s="47" t="inlineStr">
        <is>
          <t>Mises à jour</t>
        </is>
      </c>
      <c r="I3" s="47" t="inlineStr">
        <is>
          <t>Doublons ignorés</t>
        </is>
      </c>
      <c r="J3" s="47" t="inlineStr">
        <is>
          <t>Importé par</t>
        </is>
      </c>
      <c r="K3" s="47" t="inlineStr">
        <is>
          <t>Résultat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L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6" min="1" max="1"/>
    <col width="36" customWidth="1" style="36" min="2" max="2"/>
    <col width="50" customWidth="1" style="36" min="3" max="3"/>
    <col width="28" customWidth="1" style="36" min="5" max="5"/>
    <col width="34" customWidth="1" style="36" min="6" max="6"/>
    <col width="40" customWidth="1" style="36" min="7" max="7"/>
    <col width="18" customWidth="1" style="36" min="9" max="11"/>
    <col width="32" customWidth="1" style="36" min="12" max="12"/>
  </cols>
  <sheetData>
    <row r="1" ht="33.75" customHeight="1" s="37">
      <c r="A1" s="46" t="inlineStr">
        <is>
          <t>PARAMÈTRES DU CLASSEUR CENTRAL</t>
        </is>
      </c>
    </row>
    <row r="2" ht="15" customHeight="1" s="37">
      <c r="A2" s="40" t="inlineStr">
        <is>
          <t>Cellules jaunes à compléter. Les chemins sont des exemples à remplacer.</t>
        </is>
      </c>
    </row>
    <row r="3" ht="30" customHeight="1" s="37">
      <c r="B3" s="47" t="inlineStr">
        <is>
          <t>Libellé</t>
        </is>
      </c>
      <c r="C3" s="47" t="inlineStr">
        <is>
          <t>Valeur</t>
        </is>
      </c>
      <c r="E3" s="47" t="inlineStr">
        <is>
          <t>Code service</t>
        </is>
      </c>
      <c r="F3" s="47" t="inlineStr">
        <is>
          <t>Libellé du service</t>
        </is>
      </c>
      <c r="G3" s="47" t="inlineStr">
        <is>
          <t>Nom du fichier de service</t>
        </is>
      </c>
      <c r="I3" s="67" t="inlineStr">
        <is>
          <t>Profils</t>
        </is>
      </c>
      <c r="J3" s="67" t="inlineStr">
        <is>
          <t>Actif</t>
        </is>
      </c>
      <c r="K3" s="67" t="inlineStr">
        <is>
          <t>États de vérification</t>
        </is>
      </c>
      <c r="L3" s="68" t="inlineStr">
        <is>
          <t>Catégories</t>
        </is>
      </c>
    </row>
    <row r="4" ht="15" customHeight="1" s="37">
      <c r="B4" s="41" t="inlineStr">
        <is>
          <t>Institution</t>
        </is>
      </c>
      <c r="C4" s="69" t="inlineStr">
        <is>
          <t>Inspection Générale des Finances (IGE)</t>
        </is>
      </c>
      <c r="E4" s="69" t="inlineStr">
        <is>
          <t>8000 IG</t>
        </is>
      </c>
      <c r="F4" s="69" t="inlineStr">
        <is>
          <t>8000 IG</t>
        </is>
      </c>
      <c r="G4" s="43">
        <f>IF(E4="","","SERVICE_"&amp;SUBSTITUTE(E4," ","_")&amp;".xlsm")</f>
        <v/>
      </c>
      <c r="I4" s="59" t="inlineStr">
        <is>
          <t>AGENT</t>
        </is>
      </c>
      <c r="J4" s="59" t="inlineStr">
        <is>
          <t>OUI</t>
        </is>
      </c>
      <c r="K4" s="59" t="inlineStr">
        <is>
          <t>A VERIFIER</t>
        </is>
      </c>
      <c r="L4" s="69" t="inlineStr">
        <is>
          <t>Fournitures et petits matériels</t>
        </is>
      </c>
    </row>
    <row r="5" ht="15" customHeight="1" s="37">
      <c r="B5" s="41" t="inlineStr">
        <is>
          <t>Exercice</t>
        </is>
      </c>
      <c r="C5" s="70" t="n">
        <v>2026</v>
      </c>
      <c r="E5" s="69" t="inlineStr">
        <is>
          <t>8000 IGA</t>
        </is>
      </c>
      <c r="F5" s="69" t="inlineStr">
        <is>
          <t>8000 IGA</t>
        </is>
      </c>
      <c r="G5" s="43">
        <f>IF(E5="","","SERVICE_"&amp;SUBSTITUTE(E5," ","_")&amp;".xlsm")</f>
        <v/>
      </c>
      <c r="I5" s="59" t="inlineStr">
        <is>
          <t>RESPONSABLE</t>
        </is>
      </c>
      <c r="J5" s="59" t="inlineStr">
        <is>
          <t>NON</t>
        </is>
      </c>
      <c r="K5" s="59" t="inlineStr">
        <is>
          <t>VALIDEE</t>
        </is>
      </c>
      <c r="L5" s="69" t="inlineStr">
        <is>
          <t>Carburant et lubrifiants</t>
        </is>
      </c>
    </row>
    <row r="6" ht="15" customHeight="1" s="37">
      <c r="B6" s="41" t="inlineStr">
        <is>
          <t>Dossier de transmission</t>
        </is>
      </c>
      <c r="C6" s="69" t="inlineStr">
        <is>
          <t>\\SERVEUR-IGE\IGE_FF\TRANSMISSIONS\</t>
        </is>
      </c>
      <c r="E6" s="69" t="inlineStr">
        <is>
          <t>8000C OF</t>
        </is>
      </c>
      <c r="F6" s="69" t="inlineStr">
        <is>
          <t>8000C OF</t>
        </is>
      </c>
      <c r="G6" s="43">
        <f>IF(E6="","","SERVICE_"&amp;SUBSTITUTE(E6," ","_")&amp;".xlsm")</f>
        <v/>
      </c>
      <c r="I6" s="59" t="inlineStr">
        <is>
          <t>ADMIN</t>
        </is>
      </c>
      <c r="K6" s="59" t="inlineStr">
        <is>
          <t>REJETEE</t>
        </is>
      </c>
      <c r="L6" s="69" t="inlineStr">
        <is>
          <t>Entretien et réparation</t>
        </is>
      </c>
    </row>
    <row r="7" ht="15" customHeight="1" s="37">
      <c r="B7" s="41" t="inlineStr">
        <is>
          <t>Préfixe des fichiers de transmission</t>
        </is>
      </c>
      <c r="C7" s="69" t="inlineStr">
        <is>
          <t>TRANS_</t>
        </is>
      </c>
      <c r="E7" s="69" t="inlineStr">
        <is>
          <t>8000C DD</t>
        </is>
      </c>
      <c r="F7" s="69" t="inlineStr">
        <is>
          <t>8000C DD</t>
        </is>
      </c>
      <c r="G7" s="43">
        <f>IF(E7="","","SERVICE_"&amp;SUBSTITUTE(E7," ","_")&amp;".xlsm")</f>
        <v/>
      </c>
      <c r="L7" s="69" t="inlineStr">
        <is>
          <t>Communication et internet</t>
        </is>
      </c>
    </row>
    <row r="8" ht="15" customHeight="1" s="37">
      <c r="B8" s="41" t="inlineStr">
        <is>
          <t>Fichier modèle de service (.xlsm)</t>
        </is>
      </c>
      <c r="C8" s="69" t="inlineStr">
        <is>
          <t>\\SERVEUR-IGE\IGE_FF\MODELE\IGE_FF_SERVICE_MODELE.xlsm</t>
        </is>
      </c>
      <c r="E8" s="69" t="inlineStr">
        <is>
          <t>8000C CAJ</t>
        </is>
      </c>
      <c r="F8" s="69" t="inlineStr">
        <is>
          <t>8000C CAJ</t>
        </is>
      </c>
      <c r="G8" s="43">
        <f>IF(E8="","","SERVICE_"&amp;SUBSTITUTE(E8," ","_")&amp;".xlsm")</f>
        <v/>
      </c>
      <c r="L8" s="69" t="inlineStr">
        <is>
          <t>Transport et déplacements</t>
        </is>
      </c>
    </row>
    <row r="9" ht="15" customHeight="1" s="37">
      <c r="B9" s="41" t="inlineStr">
        <is>
          <t>Dossier de sortie des fichiers services</t>
        </is>
      </c>
      <c r="C9" s="69" t="inlineStr">
        <is>
          <t>\\SERVEUR-IGE\IGE_FF\SERVICES\</t>
        </is>
      </c>
      <c r="E9" s="69" t="inlineStr">
        <is>
          <t>8000C PP</t>
        </is>
      </c>
      <c r="F9" s="69" t="inlineStr">
        <is>
          <t>8000C PP</t>
        </is>
      </c>
      <c r="G9" s="43">
        <f>IF(E9="","","SERVICE_"&amp;SUBSTITUTE(E9," ","_")&amp;".xlsm")</f>
        <v/>
      </c>
      <c r="L9" s="69" t="inlineStr">
        <is>
          <t>Restauration et réception</t>
        </is>
      </c>
    </row>
    <row r="10" ht="15" customHeight="1" s="37">
      <c r="B10" s="41" t="inlineStr">
        <is>
          <t>Service d'administration</t>
        </is>
      </c>
      <c r="C10" s="69" t="inlineStr">
        <is>
          <t>ADMINISTRATION ET FINANCE</t>
        </is>
      </c>
      <c r="E10" s="69" t="inlineStr">
        <is>
          <t>8001</t>
        </is>
      </c>
      <c r="F10" s="69" t="inlineStr">
        <is>
          <t>8001</t>
        </is>
      </c>
      <c r="G10" s="43">
        <f>IF(E10="","","SERVICE_"&amp;SUBSTITUTE(E10," ","_")&amp;".xlsm")</f>
        <v/>
      </c>
      <c r="L10" s="69" t="inlineStr">
        <is>
          <t>Frais bancaires</t>
        </is>
      </c>
    </row>
    <row r="11" ht="15" customHeight="1" s="37">
      <c r="E11" s="69" t="inlineStr">
        <is>
          <t>8002</t>
        </is>
      </c>
      <c r="F11" s="69" t="inlineStr">
        <is>
          <t>8002</t>
        </is>
      </c>
      <c r="G11" s="43">
        <f>IF(E11="","","SERVICE_"&amp;SUBSTITUTE(E11," ","_")&amp;".xlsm")</f>
        <v/>
      </c>
      <c r="L11" s="69" t="inlineStr">
        <is>
          <t>Divers</t>
        </is>
      </c>
    </row>
    <row r="12" ht="15" customHeight="1" s="37">
      <c r="E12" s="69" t="inlineStr">
        <is>
          <t>8003</t>
        </is>
      </c>
      <c r="F12" s="69" t="inlineStr">
        <is>
          <t>8003</t>
        </is>
      </c>
      <c r="G12" s="43">
        <f>IF(E12="","","SERVICE_"&amp;SUBSTITUTE(E12," ","_")&amp;".xlsm")</f>
        <v/>
      </c>
      <c r="L12" s="69" t="n"/>
    </row>
    <row r="13" ht="15" customHeight="1" s="37">
      <c r="E13" s="69" t="inlineStr">
        <is>
          <t>8004</t>
        </is>
      </c>
      <c r="F13" s="69" t="inlineStr">
        <is>
          <t>8004</t>
        </is>
      </c>
      <c r="G13" s="43">
        <f>IF(E13="","","SERVICE_"&amp;SUBSTITUTE(E13," ","_")&amp;".xlsm")</f>
        <v/>
      </c>
      <c r="L13" s="69" t="n"/>
    </row>
    <row r="14" ht="15" customHeight="1" s="37">
      <c r="E14" s="69" t="inlineStr">
        <is>
          <t>8005</t>
        </is>
      </c>
      <c r="F14" s="69" t="inlineStr">
        <is>
          <t>8005</t>
        </is>
      </c>
      <c r="G14" s="43">
        <f>IF(E14="","","SERVICE_"&amp;SUBSTITUTE(E14," ","_")&amp;".xlsm")</f>
        <v/>
      </c>
      <c r="L14" s="69" t="n"/>
    </row>
    <row r="15" ht="15" customHeight="1" s="37">
      <c r="E15" s="69" t="inlineStr">
        <is>
          <t>8006</t>
        </is>
      </c>
      <c r="F15" s="69" t="inlineStr">
        <is>
          <t>8006</t>
        </is>
      </c>
      <c r="G15" s="43">
        <f>IF(E15="","","SERVICE_"&amp;SUBSTITUTE(E15," ","_")&amp;".xlsm")</f>
        <v/>
      </c>
      <c r="L15" s="69" t="n"/>
    </row>
    <row r="16" ht="15" customHeight="1" s="37">
      <c r="E16" s="69" t="inlineStr">
        <is>
          <t>8007</t>
        </is>
      </c>
      <c r="F16" s="69" t="inlineStr">
        <is>
          <t>8007</t>
        </is>
      </c>
      <c r="G16" s="43">
        <f>IF(E16="","","SERVICE_"&amp;SUBSTITUTE(E16," ","_")&amp;".xlsm")</f>
        <v/>
      </c>
      <c r="L16" s="69" t="n"/>
    </row>
    <row r="17" ht="15" customHeight="1" s="37">
      <c r="E17" s="69" t="inlineStr">
        <is>
          <t>8008</t>
        </is>
      </c>
      <c r="F17" s="69" t="inlineStr">
        <is>
          <t>8008</t>
        </is>
      </c>
      <c r="G17" s="43">
        <f>IF(E17="","","SERVICE_"&amp;SUBSTITUTE(E17," ","_")&amp;".xlsm")</f>
        <v/>
      </c>
      <c r="L17" s="69" t="n"/>
    </row>
    <row r="18" ht="15" customHeight="1" s="37">
      <c r="E18" s="69" t="inlineStr">
        <is>
          <t>8009</t>
        </is>
      </c>
      <c r="F18" s="69" t="inlineStr">
        <is>
          <t>8009</t>
        </is>
      </c>
      <c r="G18" s="43">
        <f>IF(E18="","","SERVICE_"&amp;SUBSTITUTE(E18," ","_")&amp;".xlsm")</f>
        <v/>
      </c>
      <c r="L18" s="69" t="n"/>
    </row>
    <row r="19" ht="15" customHeight="1" s="37">
      <c r="E19" s="69" t="inlineStr">
        <is>
          <t>8010</t>
        </is>
      </c>
      <c r="F19" s="69" t="inlineStr">
        <is>
          <t>8010</t>
        </is>
      </c>
      <c r="G19" s="43">
        <f>IF(E19="","","SERVICE_"&amp;SUBSTITUTE(E19," ","_")&amp;".xlsm")</f>
        <v/>
      </c>
      <c r="L19" s="69" t="n"/>
    </row>
    <row r="20" ht="15" customHeight="1" s="37">
      <c r="E20" s="69" t="inlineStr">
        <is>
          <t>8011</t>
        </is>
      </c>
      <c r="F20" s="69" t="inlineStr">
        <is>
          <t>8011</t>
        </is>
      </c>
      <c r="G20" s="43">
        <f>IF(E20="","","SERVICE_"&amp;SUBSTITUTE(E20," ","_")&amp;".xlsm")</f>
        <v/>
      </c>
      <c r="L20" s="69" t="n"/>
    </row>
    <row r="21" ht="15" customHeight="1" s="37">
      <c r="E21" s="69" t="inlineStr">
        <is>
          <t>8012</t>
        </is>
      </c>
      <c r="F21" s="69" t="inlineStr">
        <is>
          <t>8012</t>
        </is>
      </c>
      <c r="G21" s="43">
        <f>IF(E21="","","SERVICE_"&amp;SUBSTITUTE(E21," ","_")&amp;".xlsm")</f>
        <v/>
      </c>
      <c r="L21" s="69" t="n"/>
    </row>
    <row r="22" ht="15" customHeight="1" s="37">
      <c r="E22" s="69" t="inlineStr">
        <is>
          <t>8013</t>
        </is>
      </c>
      <c r="F22" s="69" t="inlineStr">
        <is>
          <t>8013</t>
        </is>
      </c>
      <c r="G22" s="43">
        <f>IF(E22="","","SERVICE_"&amp;SUBSTITUTE(E22," ","_")&amp;".xlsm")</f>
        <v/>
      </c>
      <c r="L22" s="69" t="n"/>
    </row>
    <row r="23" ht="15" customHeight="1" s="37">
      <c r="E23" s="69" t="inlineStr">
        <is>
          <t>8014</t>
        </is>
      </c>
      <c r="F23" s="69" t="inlineStr">
        <is>
          <t>8014</t>
        </is>
      </c>
      <c r="G23" s="43">
        <f>IF(E23="","","SERVICE_"&amp;SUBSTITUTE(E23," ","_")&amp;".xlsm")</f>
        <v/>
      </c>
      <c r="L23" s="69" t="n"/>
    </row>
    <row r="24" ht="15" customHeight="1" s="37">
      <c r="E24" s="69" t="inlineStr">
        <is>
          <t>8015</t>
        </is>
      </c>
      <c r="F24" s="69" t="inlineStr">
        <is>
          <t>8015</t>
        </is>
      </c>
      <c r="G24" s="43">
        <f>IF(E24="","","SERVICE_"&amp;SUBSTITUTE(E24," ","_")&amp;".xlsm")</f>
        <v/>
      </c>
    </row>
    <row r="25" ht="15" customHeight="1" s="37">
      <c r="E25" s="69" t="inlineStr">
        <is>
          <t>8016</t>
        </is>
      </c>
      <c r="F25" s="69" t="inlineStr">
        <is>
          <t>8016</t>
        </is>
      </c>
      <c r="G25" s="43">
        <f>IF(E25="","","SERVICE_"&amp;SUBSTITUTE(E25," ","_")&amp;".xlsm")</f>
        <v/>
      </c>
    </row>
    <row r="26" ht="15" customHeight="1" s="37">
      <c r="E26" s="69" t="inlineStr">
        <is>
          <t>8017</t>
        </is>
      </c>
      <c r="F26" s="69" t="inlineStr">
        <is>
          <t>8017</t>
        </is>
      </c>
      <c r="G26" s="43">
        <f>IF(E26="","","SERVICE_"&amp;SUBSTITUTE(E26," ","_")&amp;".xlsm")</f>
        <v/>
      </c>
    </row>
    <row r="27" ht="15" customHeight="1" s="37">
      <c r="E27" s="69" t="inlineStr">
        <is>
          <t>8018</t>
        </is>
      </c>
      <c r="F27" s="69" t="inlineStr">
        <is>
          <t>8018</t>
        </is>
      </c>
      <c r="G27" s="43">
        <f>IF(E27="","","SERVICE_"&amp;SUBSTITUTE(E27," ","_")&amp;".xlsm")</f>
        <v/>
      </c>
    </row>
    <row r="28" ht="15" customHeight="1" s="37">
      <c r="E28" s="69" t="inlineStr">
        <is>
          <t>Bureau controleur budgétaire</t>
        </is>
      </c>
      <c r="F28" s="69" t="inlineStr">
        <is>
          <t>Bureau controleur budgétaire</t>
        </is>
      </c>
      <c r="G28" s="43">
        <f>IF(E28="","","SERVICE_"&amp;SUBSTITUTE(E28," ","_")&amp;".xlsm")</f>
        <v/>
      </c>
    </row>
    <row r="29" ht="15" customHeight="1" s="37">
      <c r="E29" s="69" t="inlineStr">
        <is>
          <t>Bureau sous Gestionnaire</t>
        </is>
      </c>
      <c r="F29" s="69" t="inlineStr">
        <is>
          <t>Bureau sous Gestionnaire</t>
        </is>
      </c>
      <c r="G29" s="43">
        <f>IF(E29="","","SERVICE_"&amp;SUBSTITUTE(E29," ","_")&amp;".xlsm")</f>
        <v/>
      </c>
    </row>
    <row r="30" ht="15" customHeight="1" s="37">
      <c r="E30" s="69" t="inlineStr">
        <is>
          <t>Entretien et réparation</t>
        </is>
      </c>
      <c r="F30" s="69" t="inlineStr">
        <is>
          <t>Entretien et réparation</t>
        </is>
      </c>
      <c r="G30" s="43">
        <f>IF(E30="","","SERVICE_"&amp;SUBSTITUTE(E30," ","_")&amp;".xlsm")</f>
        <v/>
      </c>
    </row>
    <row r="31" ht="15" customHeight="1" s="37">
      <c r="E31" s="69" t="inlineStr">
        <is>
          <t>Pécule de transport</t>
        </is>
      </c>
      <c r="F31" s="69" t="inlineStr">
        <is>
          <t>Pécule de transport</t>
        </is>
      </c>
      <c r="G31" s="43">
        <f>IF(E31="","","SERVICE_"&amp;SUBSTITUTE(E31," ","_")&amp;".xlsm")</f>
        <v/>
      </c>
    </row>
    <row r="32" ht="15" customHeight="1" s="37">
      <c r="E32" s="69" t="inlineStr">
        <is>
          <t>Communication</t>
        </is>
      </c>
      <c r="F32" s="69" t="inlineStr">
        <is>
          <t>Communication</t>
        </is>
      </c>
      <c r="G32" s="43">
        <f>IF(E32="","","SERVICE_"&amp;SUBSTITUTE(E32," ","_")&amp;".xlsm")</f>
        <v/>
      </c>
    </row>
    <row r="33" ht="15" customHeight="1" s="37">
      <c r="E33" s="69" t="n"/>
      <c r="F33" s="69" t="n"/>
      <c r="G33" s="43">
        <f>IF(E33="","","SERVICE_"&amp;SUBSTITUTE(E33," ","_")&amp;".xlsm")</f>
        <v/>
      </c>
    </row>
    <row r="34" ht="15" customHeight="1" s="37">
      <c r="E34" s="69" t="n"/>
      <c r="F34" s="69" t="n"/>
      <c r="G34" s="43">
        <f>IF(E34="","","SERVICE_"&amp;SUBSTITUTE(E34," ","_")&amp;".xlsm")</f>
        <v/>
      </c>
    </row>
    <row r="35" ht="15" customHeight="1" s="37">
      <c r="E35" s="69" t="n"/>
      <c r="F35" s="69" t="n"/>
      <c r="G35" s="43">
        <f>IF(E35="","","SERVICE_"&amp;SUBSTITUTE(E35," ","_")&amp;".xlsm")</f>
        <v/>
      </c>
    </row>
    <row r="36" ht="15" customHeight="1" s="37">
      <c r="E36" s="69" t="n"/>
      <c r="F36" s="69" t="n"/>
      <c r="G36" s="43">
        <f>IF(E36="","","SERVICE_"&amp;SUBSTITUTE(E36," ","_")&amp;".xlsm")</f>
        <v/>
      </c>
    </row>
    <row r="37" ht="15" customHeight="1" s="37">
      <c r="E37" s="69" t="n"/>
      <c r="F37" s="69" t="n"/>
      <c r="G37" s="43">
        <f>IF(E37="","","SERVICE_"&amp;SUBSTITUTE(E37," ","_")&amp;".xlsm")</f>
        <v/>
      </c>
    </row>
    <row r="38" ht="15" customHeight="1" s="37">
      <c r="E38" s="69" t="n"/>
      <c r="F38" s="69" t="n"/>
      <c r="G38" s="43">
        <f>IF(E38="","","SERVICE_"&amp;SUBSTITUTE(E38," ","_")&amp;".xlsm")</f>
        <v/>
      </c>
    </row>
    <row r="39" ht="15" customHeight="1" s="37">
      <c r="E39" s="69" t="n"/>
      <c r="F39" s="69" t="n"/>
      <c r="G39" s="43">
        <f>IF(E39="","","SERVICE_"&amp;SUBSTITUTE(E39," ","_")&amp;".xlsm")</f>
        <v/>
      </c>
    </row>
    <row r="40" ht="15" customHeight="1" s="37">
      <c r="E40" s="69" t="n"/>
      <c r="F40" s="69" t="n"/>
      <c r="G40" s="43">
        <f>IF(E40="","","SERVICE_"&amp;SUBSTITUTE(E40," ","_")&amp;".xlsm")</f>
        <v/>
      </c>
    </row>
    <row r="41" ht="15" customHeight="1" s="37">
      <c r="E41" s="69" t="n"/>
      <c r="F41" s="69" t="n"/>
      <c r="G41" s="43">
        <f>IF(E41="","","SERVICE_"&amp;SUBSTITUTE(E41," ","_")&amp;".xlsm")</f>
        <v/>
      </c>
    </row>
    <row r="42" ht="15" customHeight="1" s="37">
      <c r="E42" s="69" t="n"/>
      <c r="F42" s="69" t="n"/>
      <c r="G42" s="43">
        <f>IF(E42="","","SERVICE_"&amp;SUBSTITUTE(E42," ","_")&amp;".xlsm")</f>
        <v/>
      </c>
    </row>
    <row r="43" ht="15" customHeight="1" s="37">
      <c r="E43" s="69" t="n"/>
      <c r="F43" s="69" t="n"/>
      <c r="G43" s="43">
        <f>IF(E43="","","SERVICE_"&amp;SUBSTITUTE(E43," ","_")&amp;".xlsm")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H3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36" min="1" max="1"/>
    <col width="36" customWidth="1" style="36" min="2" max="2"/>
    <col width="30" customWidth="1" style="36" min="3" max="3"/>
    <col width="16" customWidth="1" style="36" min="4" max="4"/>
    <col width="10" customWidth="1" style="36" min="5" max="5"/>
    <col width="18" customWidth="1" style="36" min="6" max="6"/>
    <col width="20" customWidth="1" style="36" min="7" max="7"/>
    <col width="26" customWidth="1" style="36" min="8" max="8"/>
  </cols>
  <sheetData>
    <row r="1" ht="33.75" customHeight="1" s="37">
      <c r="A1" s="46" t="inlineStr">
        <is>
          <t>TABLE DES UTILISATEURS (tous services)</t>
        </is>
      </c>
    </row>
    <row r="2" ht="15" customHeight="1" s="37">
      <c r="A2" s="40" t="inlineStr">
        <is>
          <t>Saisir le mot de passe initial en colonne H puis cliquer sur CHIFFRER LES MOTS DE PASSE : il est remplacé par son empreinte et effacé.</t>
        </is>
      </c>
    </row>
    <row r="3" ht="30" customHeight="1" s="37">
      <c r="A3" s="47" t="inlineStr">
        <is>
          <t>Identifiant</t>
        </is>
      </c>
      <c r="B3" s="47" t="inlineStr">
        <is>
          <t>Empreinte du mot de passe</t>
        </is>
      </c>
      <c r="C3" s="47" t="inlineStr">
        <is>
          <t>Service attribué</t>
        </is>
      </c>
      <c r="D3" s="47" t="inlineStr">
        <is>
          <t>Profil</t>
        </is>
      </c>
      <c r="E3" s="47" t="inlineStr">
        <is>
          <t>Actif</t>
        </is>
      </c>
      <c r="F3" s="47" t="inlineStr">
        <is>
          <t>Changer MDP au prochain accès</t>
        </is>
      </c>
      <c r="G3" s="47" t="inlineStr">
        <is>
          <t>Dernière connexion</t>
        </is>
      </c>
      <c r="H3" s="47" t="inlineStr">
        <is>
          <t>Mot de passe initial (temporaire)</t>
        </is>
      </c>
    </row>
    <row r="4" ht="15" customHeight="1" s="37">
      <c r="A4" s="69" t="inlineStr">
        <is>
          <t>admin.af</t>
        </is>
      </c>
      <c r="B4" s="59" t="n"/>
      <c r="C4" s="69" t="inlineStr">
        <is>
          <t>ADMINISTRATION ET FINANCE</t>
        </is>
      </c>
      <c r="D4" s="69" t="inlineStr">
        <is>
          <t>ADMIN</t>
        </is>
      </c>
      <c r="E4" s="69" t="inlineStr">
        <is>
          <t>OUI</t>
        </is>
      </c>
      <c r="F4" s="69" t="inlineStr">
        <is>
          <t>OUI</t>
        </is>
      </c>
      <c r="G4" s="61" t="n"/>
      <c r="H4" s="69" t="inlineStr">
        <is>
          <t>à définir</t>
        </is>
      </c>
    </row>
    <row r="5" ht="15" customHeight="1" s="37">
      <c r="A5" s="69" t="inlineStr">
        <is>
          <t>agent8000</t>
        </is>
      </c>
      <c r="B5" s="59" t="n"/>
      <c r="C5" s="69" t="inlineStr">
        <is>
          <t>8000 IG</t>
        </is>
      </c>
      <c r="D5" s="69" t="inlineStr">
        <is>
          <t>AGENT</t>
        </is>
      </c>
      <c r="E5" s="69" t="inlineStr">
        <is>
          <t>OUI</t>
        </is>
      </c>
      <c r="F5" s="69" t="inlineStr">
        <is>
          <t>OUI</t>
        </is>
      </c>
      <c r="G5" s="61" t="n"/>
      <c r="H5" s="69" t="inlineStr">
        <is>
          <t>à définir</t>
        </is>
      </c>
    </row>
    <row r="6" ht="15" customHeight="1" s="37">
      <c r="A6" s="69" t="inlineStr">
        <is>
          <t>resp8000</t>
        </is>
      </c>
      <c r="B6" s="59" t="n"/>
      <c r="C6" s="69" t="inlineStr">
        <is>
          <t>8000 IG</t>
        </is>
      </c>
      <c r="D6" s="69" t="inlineStr">
        <is>
          <t>RESPONSABLE</t>
        </is>
      </c>
      <c r="E6" s="69" t="inlineStr">
        <is>
          <t>OUI</t>
        </is>
      </c>
      <c r="F6" s="69" t="inlineStr">
        <is>
          <t>OUI</t>
        </is>
      </c>
      <c r="G6" s="61" t="n"/>
      <c r="H6" s="69" t="inlineStr">
        <is>
          <t>à définir</t>
        </is>
      </c>
    </row>
    <row r="7" ht="15" customHeight="1" s="37">
      <c r="A7" s="69" t="n"/>
      <c r="B7" s="59" t="n"/>
      <c r="C7" s="69" t="n"/>
      <c r="D7" s="69" t="n"/>
      <c r="E7" s="69" t="n"/>
      <c r="F7" s="69" t="n"/>
      <c r="G7" s="61" t="n"/>
      <c r="H7" s="69" t="n"/>
    </row>
    <row r="8" ht="15" customHeight="1" s="37">
      <c r="A8" s="69" t="n"/>
      <c r="B8" s="59" t="n"/>
      <c r="C8" s="69" t="n"/>
      <c r="D8" s="69" t="n"/>
      <c r="E8" s="69" t="n"/>
      <c r="F8" s="69" t="n"/>
      <c r="G8" s="61" t="n"/>
      <c r="H8" s="69" t="n"/>
    </row>
    <row r="9" ht="15" customHeight="1" s="37">
      <c r="A9" s="69" t="n"/>
      <c r="B9" s="59" t="n"/>
      <c r="C9" s="69" t="n"/>
      <c r="D9" s="69" t="n"/>
      <c r="E9" s="69" t="n"/>
      <c r="F9" s="69" t="n"/>
      <c r="G9" s="61" t="n"/>
      <c r="H9" s="69" t="n"/>
    </row>
    <row r="10" ht="15" customHeight="1" s="37">
      <c r="A10" s="69" t="n"/>
      <c r="B10" s="59" t="n"/>
      <c r="C10" s="69" t="n"/>
      <c r="D10" s="69" t="n"/>
      <c r="E10" s="69" t="n"/>
      <c r="F10" s="69" t="n"/>
      <c r="G10" s="61" t="n"/>
      <c r="H10" s="69" t="n"/>
    </row>
    <row r="11" ht="15" customHeight="1" s="37">
      <c r="A11" s="69" t="n"/>
      <c r="B11" s="59" t="n"/>
      <c r="C11" s="69" t="n"/>
      <c r="D11" s="69" t="n"/>
      <c r="E11" s="69" t="n"/>
      <c r="F11" s="69" t="n"/>
      <c r="G11" s="61" t="n"/>
      <c r="H11" s="69" t="n"/>
    </row>
    <row r="12" ht="15" customHeight="1" s="37">
      <c r="A12" s="69" t="n"/>
      <c r="B12" s="59" t="n"/>
      <c r="C12" s="69" t="n"/>
      <c r="D12" s="69" t="n"/>
      <c r="E12" s="69" t="n"/>
      <c r="F12" s="69" t="n"/>
      <c r="G12" s="61" t="n"/>
      <c r="H12" s="69" t="n"/>
    </row>
    <row r="13" ht="15" customHeight="1" s="37">
      <c r="A13" s="69" t="n"/>
      <c r="B13" s="59" t="n"/>
      <c r="C13" s="69" t="n"/>
      <c r="D13" s="69" t="n"/>
      <c r="E13" s="69" t="n"/>
      <c r="F13" s="69" t="n"/>
      <c r="G13" s="61" t="n"/>
      <c r="H13" s="69" t="n"/>
    </row>
    <row r="14" ht="15" customHeight="1" s="37">
      <c r="A14" s="69" t="n"/>
      <c r="B14" s="59" t="n"/>
      <c r="C14" s="69" t="n"/>
      <c r="D14" s="69" t="n"/>
      <c r="E14" s="69" t="n"/>
      <c r="F14" s="69" t="n"/>
      <c r="G14" s="61" t="n"/>
      <c r="H14" s="69" t="n"/>
    </row>
    <row r="15" ht="15" customHeight="1" s="37">
      <c r="A15" s="69" t="n"/>
      <c r="B15" s="59" t="n"/>
      <c r="C15" s="69" t="n"/>
      <c r="D15" s="69" t="n"/>
      <c r="E15" s="69" t="n"/>
      <c r="F15" s="69" t="n"/>
      <c r="G15" s="61" t="n"/>
      <c r="H15" s="69" t="n"/>
    </row>
    <row r="16" ht="15" customHeight="1" s="37">
      <c r="A16" s="69" t="n"/>
      <c r="B16" s="59" t="n"/>
      <c r="C16" s="69" t="n"/>
      <c r="D16" s="69" t="n"/>
      <c r="E16" s="69" t="n"/>
      <c r="F16" s="69" t="n"/>
      <c r="G16" s="61" t="n"/>
      <c r="H16" s="69" t="n"/>
    </row>
    <row r="17" ht="15" customHeight="1" s="37">
      <c r="A17" s="69" t="n"/>
      <c r="B17" s="59" t="n"/>
      <c r="C17" s="69" t="n"/>
      <c r="D17" s="69" t="n"/>
      <c r="E17" s="69" t="n"/>
      <c r="F17" s="69" t="n"/>
      <c r="G17" s="61" t="n"/>
      <c r="H17" s="69" t="n"/>
    </row>
    <row r="18" ht="15" customHeight="1" s="37">
      <c r="A18" s="69" t="n"/>
      <c r="B18" s="59" t="n"/>
      <c r="C18" s="69" t="n"/>
      <c r="D18" s="69" t="n"/>
      <c r="E18" s="69" t="n"/>
      <c r="F18" s="69" t="n"/>
      <c r="G18" s="61" t="n"/>
      <c r="H18" s="69" t="n"/>
    </row>
    <row r="19" ht="15" customHeight="1" s="37">
      <c r="A19" s="69" t="n"/>
      <c r="B19" s="59" t="n"/>
      <c r="C19" s="69" t="n"/>
      <c r="D19" s="69" t="n"/>
      <c r="E19" s="69" t="n"/>
      <c r="F19" s="69" t="n"/>
      <c r="G19" s="61" t="n"/>
      <c r="H19" s="69" t="n"/>
    </row>
    <row r="20" ht="15" customHeight="1" s="37">
      <c r="A20" s="69" t="n"/>
      <c r="B20" s="59" t="n"/>
      <c r="C20" s="69" t="n"/>
      <c r="D20" s="69" t="n"/>
      <c r="E20" s="69" t="n"/>
      <c r="F20" s="69" t="n"/>
      <c r="G20" s="61" t="n"/>
      <c r="H20" s="69" t="n"/>
    </row>
    <row r="21" ht="15" customHeight="1" s="37">
      <c r="A21" s="69" t="n"/>
      <c r="B21" s="59" t="n"/>
      <c r="C21" s="69" t="n"/>
      <c r="D21" s="69" t="n"/>
      <c r="E21" s="69" t="n"/>
      <c r="F21" s="69" t="n"/>
      <c r="G21" s="61" t="n"/>
      <c r="H21" s="69" t="n"/>
    </row>
    <row r="22" ht="15" customHeight="1" s="37">
      <c r="A22" s="69" t="n"/>
      <c r="B22" s="59" t="n"/>
      <c r="C22" s="69" t="n"/>
      <c r="D22" s="69" t="n"/>
      <c r="E22" s="69" t="n"/>
      <c r="F22" s="69" t="n"/>
      <c r="G22" s="61" t="n"/>
      <c r="H22" s="69" t="n"/>
    </row>
    <row r="23" ht="15" customHeight="1" s="37">
      <c r="A23" s="69" t="n"/>
      <c r="B23" s="59" t="n"/>
      <c r="C23" s="69" t="n"/>
      <c r="D23" s="69" t="n"/>
      <c r="E23" s="69" t="n"/>
      <c r="F23" s="69" t="n"/>
      <c r="G23" s="61" t="n"/>
      <c r="H23" s="69" t="n"/>
    </row>
    <row r="24" ht="15" customHeight="1" s="37">
      <c r="A24" s="69" t="n"/>
      <c r="B24" s="59" t="n"/>
      <c r="C24" s="69" t="n"/>
      <c r="D24" s="69" t="n"/>
      <c r="E24" s="69" t="n"/>
      <c r="F24" s="69" t="n"/>
      <c r="G24" s="61" t="n"/>
      <c r="H24" s="69" t="n"/>
    </row>
    <row r="25" ht="15" customHeight="1" s="37">
      <c r="A25" s="69" t="n"/>
      <c r="B25" s="59" t="n"/>
      <c r="C25" s="69" t="n"/>
      <c r="D25" s="69" t="n"/>
      <c r="E25" s="69" t="n"/>
      <c r="F25" s="69" t="n"/>
      <c r="G25" s="61" t="n"/>
      <c r="H25" s="69" t="n"/>
    </row>
    <row r="26" ht="15" customHeight="1" s="37">
      <c r="A26" s="69" t="n"/>
      <c r="B26" s="59" t="n"/>
      <c r="C26" s="69" t="n"/>
      <c r="D26" s="69" t="n"/>
      <c r="E26" s="69" t="n"/>
      <c r="F26" s="69" t="n"/>
      <c r="G26" s="61" t="n"/>
      <c r="H26" s="69" t="n"/>
    </row>
    <row r="27" ht="15" customHeight="1" s="37">
      <c r="A27" s="69" t="n"/>
      <c r="B27" s="59" t="n"/>
      <c r="C27" s="69" t="n"/>
      <c r="D27" s="69" t="n"/>
      <c r="E27" s="69" t="n"/>
      <c r="F27" s="69" t="n"/>
      <c r="G27" s="61" t="n"/>
      <c r="H27" s="69" t="n"/>
    </row>
    <row r="28" ht="15" customHeight="1" s="37">
      <c r="A28" s="69" t="n"/>
      <c r="B28" s="59" t="n"/>
      <c r="C28" s="69" t="n"/>
      <c r="D28" s="69" t="n"/>
      <c r="E28" s="69" t="n"/>
      <c r="F28" s="69" t="n"/>
      <c r="G28" s="61" t="n"/>
      <c r="H28" s="69" t="n"/>
    </row>
    <row r="29" ht="15" customHeight="1" s="37">
      <c r="A29" s="69" t="n"/>
      <c r="B29" s="59" t="n"/>
      <c r="C29" s="69" t="n"/>
      <c r="D29" s="69" t="n"/>
      <c r="E29" s="69" t="n"/>
      <c r="F29" s="69" t="n"/>
      <c r="G29" s="61" t="n"/>
      <c r="H29" s="69" t="n"/>
    </row>
    <row r="30" ht="15" customHeight="1" s="37">
      <c r="A30" s="69" t="n"/>
      <c r="B30" s="59" t="n"/>
      <c r="C30" s="69" t="n"/>
      <c r="D30" s="69" t="n"/>
      <c r="E30" s="69" t="n"/>
      <c r="F30" s="69" t="n"/>
      <c r="G30" s="61" t="n"/>
      <c r="H30" s="69" t="n"/>
    </row>
    <row r="31" ht="15" customHeight="1" s="37">
      <c r="A31" s="69" t="n"/>
      <c r="B31" s="59" t="n"/>
      <c r="C31" s="69" t="n"/>
      <c r="D31" s="69" t="n"/>
      <c r="E31" s="69" t="n"/>
      <c r="F31" s="69" t="n"/>
      <c r="G31" s="61" t="n"/>
      <c r="H31" s="69" t="n"/>
    </row>
    <row r="32" ht="15" customHeight="1" s="37">
      <c r="A32" s="69" t="n"/>
      <c r="B32" s="59" t="n"/>
      <c r="C32" s="69" t="n"/>
      <c r="D32" s="69" t="n"/>
      <c r="E32" s="69" t="n"/>
      <c r="F32" s="69" t="n"/>
      <c r="G32" s="61" t="n"/>
      <c r="H32" s="69" t="n"/>
    </row>
    <row r="33" ht="15" customHeight="1" s="37">
      <c r="A33" s="69" t="n"/>
      <c r="B33" s="59" t="n"/>
      <c r="C33" s="69" t="n"/>
      <c r="D33" s="69" t="n"/>
      <c r="E33" s="69" t="n"/>
      <c r="F33" s="69" t="n"/>
      <c r="G33" s="61" t="n"/>
      <c r="H33" s="69" t="n"/>
    </row>
    <row r="34" ht="15" customHeight="1" s="37">
      <c r="A34" s="69" t="n"/>
      <c r="B34" s="59" t="n"/>
      <c r="C34" s="69" t="n"/>
      <c r="D34" s="69" t="n"/>
      <c r="E34" s="69" t="n"/>
      <c r="F34" s="69" t="n"/>
      <c r="G34" s="61" t="n"/>
      <c r="H34" s="69" t="n"/>
    </row>
    <row r="35" ht="15" customHeight="1" s="37">
      <c r="A35" s="69" t="n"/>
      <c r="B35" s="59" t="n"/>
      <c r="C35" s="69" t="n"/>
      <c r="D35" s="69" t="n"/>
      <c r="E35" s="69" t="n"/>
      <c r="F35" s="69" t="n"/>
      <c r="G35" s="61" t="n"/>
      <c r="H35" s="69" t="n"/>
    </row>
    <row r="36" ht="15" customHeight="1" s="37">
      <c r="A36" s="69" t="n"/>
      <c r="B36" s="59" t="n"/>
      <c r="C36" s="69" t="n"/>
      <c r="D36" s="69" t="n"/>
      <c r="E36" s="69" t="n"/>
      <c r="F36" s="69" t="n"/>
      <c r="G36" s="61" t="n"/>
      <c r="H36" s="69" t="n"/>
    </row>
    <row r="37" ht="15" customHeight="1" s="37">
      <c r="A37" s="69" t="n"/>
      <c r="B37" s="59" t="n"/>
      <c r="C37" s="69" t="n"/>
      <c r="D37" s="69" t="n"/>
      <c r="E37" s="69" t="n"/>
      <c r="F37" s="69" t="n"/>
      <c r="G37" s="61" t="n"/>
      <c r="H37" s="69" t="n"/>
    </row>
    <row r="38" ht="15" customHeight="1" s="37">
      <c r="A38" s="69" t="n"/>
      <c r="B38" s="59" t="n"/>
      <c r="C38" s="69" t="n"/>
      <c r="D38" s="69" t="n"/>
      <c r="E38" s="69" t="n"/>
      <c r="F38" s="69" t="n"/>
      <c r="G38" s="61" t="n"/>
      <c r="H38" s="69" t="n"/>
    </row>
    <row r="39" ht="15" customHeight="1" s="37">
      <c r="A39" s="69" t="n"/>
      <c r="B39" s="59" t="n"/>
      <c r="C39" s="69" t="n"/>
      <c r="D39" s="69" t="n"/>
      <c r="E39" s="69" t="n"/>
      <c r="F39" s="69" t="n"/>
      <c r="G39" s="61" t="n"/>
      <c r="H39" s="69" t="n"/>
    </row>
    <row r="40" ht="15" customHeight="1" s="37">
      <c r="A40" s="69" t="n"/>
      <c r="B40" s="59" t="n"/>
      <c r="C40" s="69" t="n"/>
      <c r="D40" s="69" t="n"/>
      <c r="E40" s="69" t="n"/>
      <c r="F40" s="69" t="n"/>
      <c r="G40" s="61" t="n"/>
      <c r="H40" s="69" t="n"/>
    </row>
    <row r="41" ht="15" customHeight="1" s="37">
      <c r="A41" s="69" t="n"/>
      <c r="B41" s="59" t="n"/>
      <c r="C41" s="69" t="n"/>
      <c r="D41" s="69" t="n"/>
      <c r="E41" s="69" t="n"/>
      <c r="F41" s="69" t="n"/>
      <c r="G41" s="61" t="n"/>
      <c r="H41" s="69" t="n"/>
    </row>
    <row r="42" ht="15" customHeight="1" s="37">
      <c r="A42" s="69" t="n"/>
      <c r="B42" s="59" t="n"/>
      <c r="C42" s="69" t="n"/>
      <c r="D42" s="69" t="n"/>
      <c r="E42" s="69" t="n"/>
      <c r="F42" s="69" t="n"/>
      <c r="G42" s="61" t="n"/>
      <c r="H42" s="69" t="n"/>
    </row>
    <row r="43" ht="15" customHeight="1" s="37">
      <c r="A43" s="69" t="n"/>
      <c r="B43" s="59" t="n"/>
      <c r="C43" s="69" t="n"/>
      <c r="D43" s="69" t="n"/>
      <c r="E43" s="69" t="n"/>
      <c r="F43" s="69" t="n"/>
      <c r="G43" s="61" t="n"/>
      <c r="H43" s="69" t="n"/>
    </row>
    <row r="44" ht="15" customHeight="1" s="37">
      <c r="A44" s="69" t="n"/>
      <c r="B44" s="59" t="n"/>
      <c r="C44" s="69" t="n"/>
      <c r="D44" s="69" t="n"/>
      <c r="E44" s="69" t="n"/>
      <c r="F44" s="69" t="n"/>
      <c r="G44" s="61" t="n"/>
      <c r="H44" s="69" t="n"/>
    </row>
    <row r="45" ht="15" customHeight="1" s="37">
      <c r="A45" s="69" t="n"/>
      <c r="B45" s="59" t="n"/>
      <c r="C45" s="69" t="n"/>
      <c r="D45" s="69" t="n"/>
      <c r="E45" s="69" t="n"/>
      <c r="F45" s="69" t="n"/>
      <c r="G45" s="61" t="n"/>
      <c r="H45" s="69" t="n"/>
    </row>
    <row r="46" ht="15" customHeight="1" s="37">
      <c r="A46" s="69" t="n"/>
      <c r="B46" s="59" t="n"/>
      <c r="C46" s="69" t="n"/>
      <c r="D46" s="69" t="n"/>
      <c r="E46" s="69" t="n"/>
      <c r="F46" s="69" t="n"/>
      <c r="G46" s="61" t="n"/>
      <c r="H46" s="69" t="n"/>
    </row>
    <row r="47" ht="15" customHeight="1" s="37">
      <c r="A47" s="69" t="n"/>
      <c r="B47" s="59" t="n"/>
      <c r="C47" s="69" t="n"/>
      <c r="D47" s="69" t="n"/>
      <c r="E47" s="69" t="n"/>
      <c r="F47" s="69" t="n"/>
      <c r="G47" s="61" t="n"/>
      <c r="H47" s="69" t="n"/>
    </row>
    <row r="48" ht="15" customHeight="1" s="37">
      <c r="A48" s="69" t="n"/>
      <c r="B48" s="59" t="n"/>
      <c r="C48" s="69" t="n"/>
      <c r="D48" s="69" t="n"/>
      <c r="E48" s="69" t="n"/>
      <c r="F48" s="69" t="n"/>
      <c r="G48" s="61" t="n"/>
      <c r="H48" s="69" t="n"/>
    </row>
    <row r="49" ht="15" customHeight="1" s="37">
      <c r="A49" s="69" t="n"/>
      <c r="B49" s="59" t="n"/>
      <c r="C49" s="69" t="n"/>
      <c r="D49" s="69" t="n"/>
      <c r="E49" s="69" t="n"/>
      <c r="F49" s="69" t="n"/>
      <c r="G49" s="61" t="n"/>
      <c r="H49" s="69" t="n"/>
    </row>
    <row r="50" ht="15" customHeight="1" s="37">
      <c r="A50" s="69" t="n"/>
      <c r="B50" s="59" t="n"/>
      <c r="C50" s="69" t="n"/>
      <c r="D50" s="69" t="n"/>
      <c r="E50" s="69" t="n"/>
      <c r="F50" s="69" t="n"/>
      <c r="G50" s="61" t="n"/>
      <c r="H50" s="69" t="n"/>
    </row>
    <row r="51" ht="15" customHeight="1" s="37">
      <c r="A51" s="69" t="n"/>
      <c r="B51" s="59" t="n"/>
      <c r="C51" s="69" t="n"/>
      <c r="D51" s="69" t="n"/>
      <c r="E51" s="69" t="n"/>
      <c r="F51" s="69" t="n"/>
      <c r="G51" s="61" t="n"/>
      <c r="H51" s="69" t="n"/>
    </row>
    <row r="52" ht="15" customHeight="1" s="37">
      <c r="A52" s="69" t="n"/>
      <c r="B52" s="59" t="n"/>
      <c r="C52" s="69" t="n"/>
      <c r="D52" s="69" t="n"/>
      <c r="E52" s="69" t="n"/>
      <c r="F52" s="69" t="n"/>
      <c r="G52" s="61" t="n"/>
      <c r="H52" s="69" t="n"/>
    </row>
    <row r="53" ht="15" customHeight="1" s="37">
      <c r="A53" s="69" t="n"/>
      <c r="B53" s="59" t="n"/>
      <c r="C53" s="69" t="n"/>
      <c r="D53" s="69" t="n"/>
      <c r="E53" s="69" t="n"/>
      <c r="F53" s="69" t="n"/>
      <c r="G53" s="61" t="n"/>
      <c r="H53" s="69" t="n"/>
    </row>
    <row r="54" ht="15" customHeight="1" s="37">
      <c r="A54" s="69" t="n"/>
      <c r="B54" s="59" t="n"/>
      <c r="C54" s="69" t="n"/>
      <c r="D54" s="69" t="n"/>
      <c r="E54" s="69" t="n"/>
      <c r="F54" s="69" t="n"/>
      <c r="G54" s="61" t="n"/>
      <c r="H54" s="69" t="n"/>
    </row>
    <row r="55" ht="15" customHeight="1" s="37">
      <c r="A55" s="69" t="n"/>
      <c r="B55" s="59" t="n"/>
      <c r="C55" s="69" t="n"/>
      <c r="D55" s="69" t="n"/>
      <c r="E55" s="69" t="n"/>
      <c r="F55" s="69" t="n"/>
      <c r="G55" s="61" t="n"/>
      <c r="H55" s="69" t="n"/>
    </row>
    <row r="56" ht="15" customHeight="1" s="37">
      <c r="A56" s="69" t="n"/>
      <c r="B56" s="59" t="n"/>
      <c r="C56" s="69" t="n"/>
      <c r="D56" s="69" t="n"/>
      <c r="E56" s="69" t="n"/>
      <c r="F56" s="69" t="n"/>
      <c r="G56" s="61" t="n"/>
      <c r="H56" s="69" t="n"/>
    </row>
    <row r="57" ht="15" customHeight="1" s="37">
      <c r="A57" s="69" t="n"/>
      <c r="B57" s="59" t="n"/>
      <c r="C57" s="69" t="n"/>
      <c r="D57" s="69" t="n"/>
      <c r="E57" s="69" t="n"/>
      <c r="F57" s="69" t="n"/>
      <c r="G57" s="61" t="n"/>
      <c r="H57" s="69" t="n"/>
    </row>
    <row r="58" ht="15" customHeight="1" s="37">
      <c r="A58" s="69" t="n"/>
      <c r="B58" s="59" t="n"/>
      <c r="C58" s="69" t="n"/>
      <c r="D58" s="69" t="n"/>
      <c r="E58" s="69" t="n"/>
      <c r="F58" s="69" t="n"/>
      <c r="G58" s="61" t="n"/>
      <c r="H58" s="69" t="n"/>
    </row>
    <row r="59" ht="15" customHeight="1" s="37">
      <c r="A59" s="69" t="n"/>
      <c r="B59" s="59" t="n"/>
      <c r="C59" s="69" t="n"/>
      <c r="D59" s="69" t="n"/>
      <c r="E59" s="69" t="n"/>
      <c r="F59" s="69" t="n"/>
      <c r="G59" s="61" t="n"/>
      <c r="H59" s="69" t="n"/>
    </row>
    <row r="60" ht="15" customHeight="1" s="37">
      <c r="A60" s="69" t="n"/>
      <c r="B60" s="59" t="n"/>
      <c r="C60" s="69" t="n"/>
      <c r="D60" s="69" t="n"/>
      <c r="E60" s="69" t="n"/>
      <c r="F60" s="69" t="n"/>
      <c r="G60" s="61" t="n"/>
      <c r="H60" s="69" t="n"/>
    </row>
    <row r="61" ht="15" customHeight="1" s="37">
      <c r="A61" s="69" t="n"/>
      <c r="B61" s="59" t="n"/>
      <c r="C61" s="69" t="n"/>
      <c r="D61" s="69" t="n"/>
      <c r="E61" s="69" t="n"/>
      <c r="F61" s="69" t="n"/>
      <c r="G61" s="61" t="n"/>
      <c r="H61" s="69" t="n"/>
    </row>
    <row r="62" ht="15" customHeight="1" s="37">
      <c r="A62" s="69" t="n"/>
      <c r="B62" s="59" t="n"/>
      <c r="C62" s="69" t="n"/>
      <c r="D62" s="69" t="n"/>
      <c r="E62" s="69" t="n"/>
      <c r="F62" s="69" t="n"/>
      <c r="G62" s="61" t="n"/>
      <c r="H62" s="69" t="n"/>
    </row>
    <row r="63" ht="15" customHeight="1" s="37">
      <c r="A63" s="69" t="n"/>
      <c r="B63" s="59" t="n"/>
      <c r="C63" s="69" t="n"/>
      <c r="D63" s="69" t="n"/>
      <c r="E63" s="69" t="n"/>
      <c r="F63" s="69" t="n"/>
      <c r="G63" s="61" t="n"/>
      <c r="H63" s="69" t="n"/>
    </row>
    <row r="64" ht="15" customHeight="1" s="37">
      <c r="A64" s="69" t="n"/>
      <c r="B64" s="59" t="n"/>
      <c r="C64" s="69" t="n"/>
      <c r="D64" s="69" t="n"/>
      <c r="E64" s="69" t="n"/>
      <c r="F64" s="69" t="n"/>
      <c r="G64" s="61" t="n"/>
      <c r="H64" s="69" t="n"/>
    </row>
    <row r="65" ht="15" customHeight="1" s="37">
      <c r="A65" s="69" t="n"/>
      <c r="B65" s="59" t="n"/>
      <c r="C65" s="69" t="n"/>
      <c r="D65" s="69" t="n"/>
      <c r="E65" s="69" t="n"/>
      <c r="F65" s="69" t="n"/>
      <c r="G65" s="61" t="n"/>
      <c r="H65" s="69" t="n"/>
    </row>
    <row r="66" ht="15" customHeight="1" s="37">
      <c r="A66" s="69" t="n"/>
      <c r="B66" s="59" t="n"/>
      <c r="C66" s="69" t="n"/>
      <c r="D66" s="69" t="n"/>
      <c r="E66" s="69" t="n"/>
      <c r="F66" s="69" t="n"/>
      <c r="G66" s="61" t="n"/>
      <c r="H66" s="69" t="n"/>
    </row>
    <row r="67" ht="15" customHeight="1" s="37">
      <c r="A67" s="69" t="n"/>
      <c r="B67" s="59" t="n"/>
      <c r="C67" s="69" t="n"/>
      <c r="D67" s="69" t="n"/>
      <c r="E67" s="69" t="n"/>
      <c r="F67" s="69" t="n"/>
      <c r="G67" s="61" t="n"/>
      <c r="H67" s="69" t="n"/>
    </row>
    <row r="68" ht="15" customHeight="1" s="37">
      <c r="A68" s="69" t="n"/>
      <c r="B68" s="59" t="n"/>
      <c r="C68" s="69" t="n"/>
      <c r="D68" s="69" t="n"/>
      <c r="E68" s="69" t="n"/>
      <c r="F68" s="69" t="n"/>
      <c r="G68" s="61" t="n"/>
      <c r="H68" s="69" t="n"/>
    </row>
    <row r="69" ht="15" customHeight="1" s="37">
      <c r="A69" s="69" t="n"/>
      <c r="B69" s="59" t="n"/>
      <c r="C69" s="69" t="n"/>
      <c r="D69" s="69" t="n"/>
      <c r="E69" s="69" t="n"/>
      <c r="F69" s="69" t="n"/>
      <c r="G69" s="61" t="n"/>
      <c r="H69" s="69" t="n"/>
    </row>
    <row r="70" ht="15" customHeight="1" s="37">
      <c r="A70" s="69" t="n"/>
      <c r="B70" s="59" t="n"/>
      <c r="C70" s="69" t="n"/>
      <c r="D70" s="69" t="n"/>
      <c r="E70" s="69" t="n"/>
      <c r="F70" s="69" t="n"/>
      <c r="G70" s="61" t="n"/>
      <c r="H70" s="69" t="n"/>
    </row>
    <row r="71" ht="15" customHeight="1" s="37">
      <c r="A71" s="69" t="n"/>
      <c r="B71" s="59" t="n"/>
      <c r="C71" s="69" t="n"/>
      <c r="D71" s="69" t="n"/>
      <c r="E71" s="69" t="n"/>
      <c r="F71" s="69" t="n"/>
      <c r="G71" s="61" t="n"/>
      <c r="H71" s="69" t="n"/>
    </row>
    <row r="72" ht="15" customHeight="1" s="37">
      <c r="A72" s="69" t="n"/>
      <c r="B72" s="59" t="n"/>
      <c r="C72" s="69" t="n"/>
      <c r="D72" s="69" t="n"/>
      <c r="E72" s="69" t="n"/>
      <c r="F72" s="69" t="n"/>
      <c r="G72" s="61" t="n"/>
      <c r="H72" s="69" t="n"/>
    </row>
    <row r="73" ht="15" customHeight="1" s="37">
      <c r="A73" s="69" t="n"/>
      <c r="B73" s="59" t="n"/>
      <c r="C73" s="69" t="n"/>
      <c r="D73" s="69" t="n"/>
      <c r="E73" s="69" t="n"/>
      <c r="F73" s="69" t="n"/>
      <c r="G73" s="61" t="n"/>
      <c r="H73" s="69" t="n"/>
    </row>
    <row r="74" ht="15" customHeight="1" s="37">
      <c r="A74" s="69" t="n"/>
      <c r="B74" s="59" t="n"/>
      <c r="C74" s="69" t="n"/>
      <c r="D74" s="69" t="n"/>
      <c r="E74" s="69" t="n"/>
      <c r="F74" s="69" t="n"/>
      <c r="G74" s="61" t="n"/>
      <c r="H74" s="69" t="n"/>
    </row>
    <row r="75" ht="15" customHeight="1" s="37">
      <c r="A75" s="69" t="n"/>
      <c r="B75" s="59" t="n"/>
      <c r="C75" s="69" t="n"/>
      <c r="D75" s="69" t="n"/>
      <c r="E75" s="69" t="n"/>
      <c r="F75" s="69" t="n"/>
      <c r="G75" s="61" t="n"/>
      <c r="H75" s="69" t="n"/>
    </row>
    <row r="76" ht="15" customHeight="1" s="37">
      <c r="A76" s="69" t="n"/>
      <c r="B76" s="59" t="n"/>
      <c r="C76" s="69" t="n"/>
      <c r="D76" s="69" t="n"/>
      <c r="E76" s="69" t="n"/>
      <c r="F76" s="69" t="n"/>
      <c r="G76" s="61" t="n"/>
      <c r="H76" s="69" t="n"/>
    </row>
    <row r="77" ht="15" customHeight="1" s="37">
      <c r="A77" s="69" t="n"/>
      <c r="B77" s="59" t="n"/>
      <c r="C77" s="69" t="n"/>
      <c r="D77" s="69" t="n"/>
      <c r="E77" s="69" t="n"/>
      <c r="F77" s="69" t="n"/>
      <c r="G77" s="61" t="n"/>
      <c r="H77" s="69" t="n"/>
    </row>
    <row r="78" ht="15" customHeight="1" s="37">
      <c r="A78" s="69" t="n"/>
      <c r="B78" s="59" t="n"/>
      <c r="C78" s="69" t="n"/>
      <c r="D78" s="69" t="n"/>
      <c r="E78" s="69" t="n"/>
      <c r="F78" s="69" t="n"/>
      <c r="G78" s="61" t="n"/>
      <c r="H78" s="69" t="n"/>
    </row>
    <row r="79" ht="15" customHeight="1" s="37">
      <c r="A79" s="69" t="n"/>
      <c r="B79" s="59" t="n"/>
      <c r="C79" s="69" t="n"/>
      <c r="D79" s="69" t="n"/>
      <c r="E79" s="69" t="n"/>
      <c r="F79" s="69" t="n"/>
      <c r="G79" s="61" t="n"/>
      <c r="H79" s="69" t="n"/>
    </row>
    <row r="80" ht="15" customHeight="1" s="37">
      <c r="A80" s="69" t="n"/>
      <c r="B80" s="59" t="n"/>
      <c r="C80" s="69" t="n"/>
      <c r="D80" s="69" t="n"/>
      <c r="E80" s="69" t="n"/>
      <c r="F80" s="69" t="n"/>
      <c r="G80" s="61" t="n"/>
      <c r="H80" s="69" t="n"/>
    </row>
    <row r="81" ht="15" customHeight="1" s="37">
      <c r="A81" s="69" t="n"/>
      <c r="B81" s="59" t="n"/>
      <c r="C81" s="69" t="n"/>
      <c r="D81" s="69" t="n"/>
      <c r="E81" s="69" t="n"/>
      <c r="F81" s="69" t="n"/>
      <c r="G81" s="61" t="n"/>
      <c r="H81" s="69" t="n"/>
    </row>
    <row r="82" ht="15" customHeight="1" s="37">
      <c r="A82" s="69" t="n"/>
      <c r="B82" s="59" t="n"/>
      <c r="C82" s="69" t="n"/>
      <c r="D82" s="69" t="n"/>
      <c r="E82" s="69" t="n"/>
      <c r="F82" s="69" t="n"/>
      <c r="G82" s="61" t="n"/>
      <c r="H82" s="69" t="n"/>
    </row>
    <row r="83" ht="15" customHeight="1" s="37">
      <c r="A83" s="69" t="n"/>
      <c r="B83" s="59" t="n"/>
      <c r="C83" s="69" t="n"/>
      <c r="D83" s="69" t="n"/>
      <c r="E83" s="69" t="n"/>
      <c r="F83" s="69" t="n"/>
      <c r="G83" s="61" t="n"/>
      <c r="H83" s="69" t="n"/>
    </row>
    <row r="84" ht="15" customHeight="1" s="37">
      <c r="A84" s="69" t="n"/>
      <c r="B84" s="59" t="n"/>
      <c r="C84" s="69" t="n"/>
      <c r="D84" s="69" t="n"/>
      <c r="E84" s="69" t="n"/>
      <c r="F84" s="69" t="n"/>
      <c r="G84" s="61" t="n"/>
      <c r="H84" s="69" t="n"/>
    </row>
    <row r="85" ht="15" customHeight="1" s="37">
      <c r="A85" s="69" t="n"/>
      <c r="B85" s="59" t="n"/>
      <c r="C85" s="69" t="n"/>
      <c r="D85" s="69" t="n"/>
      <c r="E85" s="69" t="n"/>
      <c r="F85" s="69" t="n"/>
      <c r="G85" s="61" t="n"/>
      <c r="H85" s="69" t="n"/>
    </row>
    <row r="86" ht="15" customHeight="1" s="37">
      <c r="A86" s="69" t="n"/>
      <c r="B86" s="59" t="n"/>
      <c r="C86" s="69" t="n"/>
      <c r="D86" s="69" t="n"/>
      <c r="E86" s="69" t="n"/>
      <c r="F86" s="69" t="n"/>
      <c r="G86" s="61" t="n"/>
      <c r="H86" s="69" t="n"/>
    </row>
    <row r="87" ht="15" customHeight="1" s="37">
      <c r="A87" s="69" t="n"/>
      <c r="B87" s="59" t="n"/>
      <c r="C87" s="69" t="n"/>
      <c r="D87" s="69" t="n"/>
      <c r="E87" s="69" t="n"/>
      <c r="F87" s="69" t="n"/>
      <c r="G87" s="61" t="n"/>
      <c r="H87" s="69" t="n"/>
    </row>
    <row r="88" ht="15" customHeight="1" s="37">
      <c r="A88" s="69" t="n"/>
      <c r="B88" s="59" t="n"/>
      <c r="C88" s="69" t="n"/>
      <c r="D88" s="69" t="n"/>
      <c r="E88" s="69" t="n"/>
      <c r="F88" s="69" t="n"/>
      <c r="G88" s="61" t="n"/>
      <c r="H88" s="69" t="n"/>
    </row>
    <row r="89" ht="15" customHeight="1" s="37">
      <c r="A89" s="69" t="n"/>
      <c r="B89" s="59" t="n"/>
      <c r="C89" s="69" t="n"/>
      <c r="D89" s="69" t="n"/>
      <c r="E89" s="69" t="n"/>
      <c r="F89" s="69" t="n"/>
      <c r="G89" s="61" t="n"/>
      <c r="H89" s="69" t="n"/>
    </row>
    <row r="90" ht="15" customHeight="1" s="37">
      <c r="A90" s="69" t="n"/>
      <c r="B90" s="59" t="n"/>
      <c r="C90" s="69" t="n"/>
      <c r="D90" s="69" t="n"/>
      <c r="E90" s="69" t="n"/>
      <c r="F90" s="69" t="n"/>
      <c r="G90" s="61" t="n"/>
      <c r="H90" s="69" t="n"/>
    </row>
    <row r="91" ht="15" customHeight="1" s="37">
      <c r="A91" s="69" t="n"/>
      <c r="B91" s="59" t="n"/>
      <c r="C91" s="69" t="n"/>
      <c r="D91" s="69" t="n"/>
      <c r="E91" s="69" t="n"/>
      <c r="F91" s="69" t="n"/>
      <c r="G91" s="61" t="n"/>
      <c r="H91" s="69" t="n"/>
    </row>
    <row r="92" ht="15" customHeight="1" s="37">
      <c r="A92" s="69" t="n"/>
      <c r="B92" s="59" t="n"/>
      <c r="C92" s="69" t="n"/>
      <c r="D92" s="69" t="n"/>
      <c r="E92" s="69" t="n"/>
      <c r="F92" s="69" t="n"/>
      <c r="G92" s="61" t="n"/>
      <c r="H92" s="69" t="n"/>
    </row>
    <row r="93" ht="15" customHeight="1" s="37">
      <c r="A93" s="69" t="n"/>
      <c r="B93" s="59" t="n"/>
      <c r="C93" s="69" t="n"/>
      <c r="D93" s="69" t="n"/>
      <c r="E93" s="69" t="n"/>
      <c r="F93" s="69" t="n"/>
      <c r="G93" s="61" t="n"/>
      <c r="H93" s="69" t="n"/>
    </row>
    <row r="94" ht="15" customHeight="1" s="37">
      <c r="A94" s="69" t="n"/>
      <c r="B94" s="59" t="n"/>
      <c r="C94" s="69" t="n"/>
      <c r="D94" s="69" t="n"/>
      <c r="E94" s="69" t="n"/>
      <c r="F94" s="69" t="n"/>
      <c r="G94" s="61" t="n"/>
      <c r="H94" s="69" t="n"/>
    </row>
    <row r="95" ht="15" customHeight="1" s="37">
      <c r="A95" s="69" t="n"/>
      <c r="B95" s="59" t="n"/>
      <c r="C95" s="69" t="n"/>
      <c r="D95" s="69" t="n"/>
      <c r="E95" s="69" t="n"/>
      <c r="F95" s="69" t="n"/>
      <c r="G95" s="61" t="n"/>
      <c r="H95" s="69" t="n"/>
    </row>
    <row r="96" ht="15" customHeight="1" s="37">
      <c r="A96" s="69" t="n"/>
      <c r="B96" s="59" t="n"/>
      <c r="C96" s="69" t="n"/>
      <c r="D96" s="69" t="n"/>
      <c r="E96" s="69" t="n"/>
      <c r="F96" s="69" t="n"/>
      <c r="G96" s="61" t="n"/>
      <c r="H96" s="69" t="n"/>
    </row>
    <row r="97" ht="15" customHeight="1" s="37">
      <c r="A97" s="69" t="n"/>
      <c r="B97" s="59" t="n"/>
      <c r="C97" s="69" t="n"/>
      <c r="D97" s="69" t="n"/>
      <c r="E97" s="69" t="n"/>
      <c r="F97" s="69" t="n"/>
      <c r="G97" s="61" t="n"/>
      <c r="H97" s="69" t="n"/>
    </row>
    <row r="98" ht="15" customHeight="1" s="37">
      <c r="A98" s="69" t="n"/>
      <c r="B98" s="59" t="n"/>
      <c r="C98" s="69" t="n"/>
      <c r="D98" s="69" t="n"/>
      <c r="E98" s="69" t="n"/>
      <c r="F98" s="69" t="n"/>
      <c r="G98" s="61" t="n"/>
      <c r="H98" s="69" t="n"/>
    </row>
    <row r="99" ht="15" customHeight="1" s="37">
      <c r="A99" s="69" t="n"/>
      <c r="B99" s="59" t="n"/>
      <c r="C99" s="69" t="n"/>
      <c r="D99" s="69" t="n"/>
      <c r="E99" s="69" t="n"/>
      <c r="F99" s="69" t="n"/>
      <c r="G99" s="61" t="n"/>
      <c r="H99" s="69" t="n"/>
    </row>
    <row r="100" ht="15" customHeight="1" s="37">
      <c r="A100" s="69" t="n"/>
      <c r="B100" s="59" t="n"/>
      <c r="C100" s="69" t="n"/>
      <c r="D100" s="69" t="n"/>
      <c r="E100" s="69" t="n"/>
      <c r="F100" s="69" t="n"/>
      <c r="G100" s="61" t="n"/>
      <c r="H100" s="69" t="n"/>
    </row>
    <row r="101" ht="15" customHeight="1" s="37">
      <c r="A101" s="69" t="n"/>
      <c r="B101" s="59" t="n"/>
      <c r="C101" s="69" t="n"/>
      <c r="D101" s="69" t="n"/>
      <c r="E101" s="69" t="n"/>
      <c r="F101" s="69" t="n"/>
      <c r="G101" s="61" t="n"/>
      <c r="H101" s="69" t="n"/>
    </row>
    <row r="102" ht="15" customHeight="1" s="37">
      <c r="A102" s="69" t="n"/>
      <c r="B102" s="59" t="n"/>
      <c r="C102" s="69" t="n"/>
      <c r="D102" s="69" t="n"/>
      <c r="E102" s="69" t="n"/>
      <c r="F102" s="69" t="n"/>
      <c r="G102" s="61" t="n"/>
      <c r="H102" s="69" t="n"/>
    </row>
    <row r="103" ht="15" customHeight="1" s="37">
      <c r="A103" s="69" t="n"/>
      <c r="B103" s="59" t="n"/>
      <c r="C103" s="69" t="n"/>
      <c r="D103" s="69" t="n"/>
      <c r="E103" s="69" t="n"/>
      <c r="F103" s="69" t="n"/>
      <c r="G103" s="61" t="n"/>
      <c r="H103" s="69" t="n"/>
    </row>
    <row r="104" ht="15" customHeight="1" s="37">
      <c r="A104" s="69" t="n"/>
      <c r="B104" s="59" t="n"/>
      <c r="C104" s="69" t="n"/>
      <c r="D104" s="69" t="n"/>
      <c r="E104" s="69" t="n"/>
      <c r="F104" s="69" t="n"/>
      <c r="G104" s="61" t="n"/>
      <c r="H104" s="69" t="n"/>
    </row>
    <row r="105" ht="15" customHeight="1" s="37">
      <c r="A105" s="69" t="n"/>
      <c r="B105" s="59" t="n"/>
      <c r="C105" s="69" t="n"/>
      <c r="D105" s="69" t="n"/>
      <c r="E105" s="69" t="n"/>
      <c r="F105" s="69" t="n"/>
      <c r="G105" s="61" t="n"/>
      <c r="H105" s="69" t="n"/>
    </row>
    <row r="106" ht="15" customHeight="1" s="37">
      <c r="A106" s="69" t="n"/>
      <c r="B106" s="59" t="n"/>
      <c r="C106" s="69" t="n"/>
      <c r="D106" s="69" t="n"/>
      <c r="E106" s="69" t="n"/>
      <c r="F106" s="69" t="n"/>
      <c r="G106" s="61" t="n"/>
      <c r="H106" s="69" t="n"/>
    </row>
    <row r="107" ht="15" customHeight="1" s="37">
      <c r="A107" s="69" t="n"/>
      <c r="B107" s="59" t="n"/>
      <c r="C107" s="69" t="n"/>
      <c r="D107" s="69" t="n"/>
      <c r="E107" s="69" t="n"/>
      <c r="F107" s="69" t="n"/>
      <c r="G107" s="61" t="n"/>
      <c r="H107" s="69" t="n"/>
    </row>
    <row r="108" ht="15" customHeight="1" s="37">
      <c r="A108" s="69" t="n"/>
      <c r="B108" s="59" t="n"/>
      <c r="C108" s="69" t="n"/>
      <c r="D108" s="69" t="n"/>
      <c r="E108" s="69" t="n"/>
      <c r="F108" s="69" t="n"/>
      <c r="G108" s="61" t="n"/>
      <c r="H108" s="69" t="n"/>
    </row>
    <row r="109" ht="15" customHeight="1" s="37">
      <c r="A109" s="69" t="n"/>
      <c r="B109" s="59" t="n"/>
      <c r="C109" s="69" t="n"/>
      <c r="D109" s="69" t="n"/>
      <c r="E109" s="69" t="n"/>
      <c r="F109" s="69" t="n"/>
      <c r="G109" s="61" t="n"/>
      <c r="H109" s="69" t="n"/>
    </row>
    <row r="110" ht="15" customHeight="1" s="37">
      <c r="A110" s="69" t="n"/>
      <c r="B110" s="59" t="n"/>
      <c r="C110" s="69" t="n"/>
      <c r="D110" s="69" t="n"/>
      <c r="E110" s="69" t="n"/>
      <c r="F110" s="69" t="n"/>
      <c r="G110" s="61" t="n"/>
      <c r="H110" s="69" t="n"/>
    </row>
    <row r="111" ht="15" customHeight="1" s="37">
      <c r="A111" s="69" t="n"/>
      <c r="B111" s="59" t="n"/>
      <c r="C111" s="69" t="n"/>
      <c r="D111" s="69" t="n"/>
      <c r="E111" s="69" t="n"/>
      <c r="F111" s="69" t="n"/>
      <c r="G111" s="61" t="n"/>
      <c r="H111" s="69" t="n"/>
    </row>
    <row r="112" ht="15" customHeight="1" s="37">
      <c r="A112" s="69" t="n"/>
      <c r="B112" s="59" t="n"/>
      <c r="C112" s="69" t="n"/>
      <c r="D112" s="69" t="n"/>
      <c r="E112" s="69" t="n"/>
      <c r="F112" s="69" t="n"/>
      <c r="G112" s="61" t="n"/>
      <c r="H112" s="69" t="n"/>
    </row>
    <row r="113" ht="15" customHeight="1" s="37">
      <c r="A113" s="69" t="n"/>
      <c r="B113" s="59" t="n"/>
      <c r="C113" s="69" t="n"/>
      <c r="D113" s="69" t="n"/>
      <c r="E113" s="69" t="n"/>
      <c r="F113" s="69" t="n"/>
      <c r="G113" s="61" t="n"/>
      <c r="H113" s="69" t="n"/>
    </row>
    <row r="114" ht="15" customHeight="1" s="37">
      <c r="A114" s="69" t="n"/>
      <c r="B114" s="59" t="n"/>
      <c r="C114" s="69" t="n"/>
      <c r="D114" s="69" t="n"/>
      <c r="E114" s="69" t="n"/>
      <c r="F114" s="69" t="n"/>
      <c r="G114" s="61" t="n"/>
      <c r="H114" s="69" t="n"/>
    </row>
    <row r="115" ht="15" customHeight="1" s="37">
      <c r="A115" s="69" t="n"/>
      <c r="B115" s="59" t="n"/>
      <c r="C115" s="69" t="n"/>
      <c r="D115" s="69" t="n"/>
      <c r="E115" s="69" t="n"/>
      <c r="F115" s="69" t="n"/>
      <c r="G115" s="61" t="n"/>
      <c r="H115" s="69" t="n"/>
    </row>
    <row r="116" ht="15" customHeight="1" s="37">
      <c r="A116" s="69" t="n"/>
      <c r="B116" s="59" t="n"/>
      <c r="C116" s="69" t="n"/>
      <c r="D116" s="69" t="n"/>
      <c r="E116" s="69" t="n"/>
      <c r="F116" s="69" t="n"/>
      <c r="G116" s="61" t="n"/>
      <c r="H116" s="69" t="n"/>
    </row>
    <row r="117" ht="15" customHeight="1" s="37">
      <c r="A117" s="69" t="n"/>
      <c r="B117" s="59" t="n"/>
      <c r="C117" s="69" t="n"/>
      <c r="D117" s="69" t="n"/>
      <c r="E117" s="69" t="n"/>
      <c r="F117" s="69" t="n"/>
      <c r="G117" s="61" t="n"/>
      <c r="H117" s="69" t="n"/>
    </row>
    <row r="118" ht="15" customHeight="1" s="37">
      <c r="A118" s="69" t="n"/>
      <c r="B118" s="59" t="n"/>
      <c r="C118" s="69" t="n"/>
      <c r="D118" s="69" t="n"/>
      <c r="E118" s="69" t="n"/>
      <c r="F118" s="69" t="n"/>
      <c r="G118" s="61" t="n"/>
      <c r="H118" s="69" t="n"/>
    </row>
    <row r="119" ht="15" customHeight="1" s="37">
      <c r="A119" s="69" t="n"/>
      <c r="B119" s="59" t="n"/>
      <c r="C119" s="69" t="n"/>
      <c r="D119" s="69" t="n"/>
      <c r="E119" s="69" t="n"/>
      <c r="F119" s="69" t="n"/>
      <c r="G119" s="61" t="n"/>
      <c r="H119" s="69" t="n"/>
    </row>
    <row r="120" ht="15" customHeight="1" s="37">
      <c r="A120" s="69" t="n"/>
      <c r="B120" s="59" t="n"/>
      <c r="C120" s="69" t="n"/>
      <c r="D120" s="69" t="n"/>
      <c r="E120" s="69" t="n"/>
      <c r="F120" s="69" t="n"/>
      <c r="G120" s="61" t="n"/>
      <c r="H120" s="69" t="n"/>
    </row>
    <row r="121" ht="15" customHeight="1" s="37">
      <c r="A121" s="69" t="n"/>
      <c r="B121" s="59" t="n"/>
      <c r="C121" s="69" t="n"/>
      <c r="D121" s="69" t="n"/>
      <c r="E121" s="69" t="n"/>
      <c r="F121" s="69" t="n"/>
      <c r="G121" s="61" t="n"/>
      <c r="H121" s="69" t="n"/>
    </row>
    <row r="122" ht="15" customHeight="1" s="37">
      <c r="A122" s="69" t="n"/>
      <c r="B122" s="59" t="n"/>
      <c r="C122" s="69" t="n"/>
      <c r="D122" s="69" t="n"/>
      <c r="E122" s="69" t="n"/>
      <c r="F122" s="69" t="n"/>
      <c r="G122" s="61" t="n"/>
      <c r="H122" s="69" t="n"/>
    </row>
    <row r="123" ht="15" customHeight="1" s="37">
      <c r="A123" s="69" t="n"/>
      <c r="B123" s="59" t="n"/>
      <c r="C123" s="69" t="n"/>
      <c r="D123" s="69" t="n"/>
      <c r="E123" s="69" t="n"/>
      <c r="F123" s="69" t="n"/>
      <c r="G123" s="61" t="n"/>
      <c r="H123" s="69" t="n"/>
    </row>
    <row r="124" ht="15" customHeight="1" s="37">
      <c r="A124" s="69" t="n"/>
      <c r="B124" s="59" t="n"/>
      <c r="C124" s="69" t="n"/>
      <c r="D124" s="69" t="n"/>
      <c r="E124" s="69" t="n"/>
      <c r="F124" s="69" t="n"/>
      <c r="G124" s="61" t="n"/>
      <c r="H124" s="69" t="n"/>
    </row>
    <row r="125" ht="15" customHeight="1" s="37">
      <c r="A125" s="69" t="n"/>
      <c r="B125" s="59" t="n"/>
      <c r="C125" s="69" t="n"/>
      <c r="D125" s="69" t="n"/>
      <c r="E125" s="69" t="n"/>
      <c r="F125" s="69" t="n"/>
      <c r="G125" s="61" t="n"/>
      <c r="H125" s="69" t="n"/>
    </row>
    <row r="126" ht="15" customHeight="1" s="37">
      <c r="A126" s="69" t="n"/>
      <c r="B126" s="59" t="n"/>
      <c r="C126" s="69" t="n"/>
      <c r="D126" s="69" t="n"/>
      <c r="E126" s="69" t="n"/>
      <c r="F126" s="69" t="n"/>
      <c r="G126" s="61" t="n"/>
      <c r="H126" s="69" t="n"/>
    </row>
    <row r="127" ht="15" customHeight="1" s="37">
      <c r="A127" s="69" t="n"/>
      <c r="B127" s="59" t="n"/>
      <c r="C127" s="69" t="n"/>
      <c r="D127" s="69" t="n"/>
      <c r="E127" s="69" t="n"/>
      <c r="F127" s="69" t="n"/>
      <c r="G127" s="61" t="n"/>
      <c r="H127" s="69" t="n"/>
    </row>
    <row r="128" ht="15" customHeight="1" s="37">
      <c r="A128" s="69" t="n"/>
      <c r="B128" s="59" t="n"/>
      <c r="C128" s="69" t="n"/>
      <c r="D128" s="69" t="n"/>
      <c r="E128" s="69" t="n"/>
      <c r="F128" s="69" t="n"/>
      <c r="G128" s="61" t="n"/>
      <c r="H128" s="69" t="n"/>
    </row>
    <row r="129" ht="15" customHeight="1" s="37">
      <c r="A129" s="69" t="n"/>
      <c r="B129" s="59" t="n"/>
      <c r="C129" s="69" t="n"/>
      <c r="D129" s="69" t="n"/>
      <c r="E129" s="69" t="n"/>
      <c r="F129" s="69" t="n"/>
      <c r="G129" s="61" t="n"/>
      <c r="H129" s="69" t="n"/>
    </row>
    <row r="130" ht="15" customHeight="1" s="37">
      <c r="A130" s="69" t="n"/>
      <c r="B130" s="59" t="n"/>
      <c r="C130" s="69" t="n"/>
      <c r="D130" s="69" t="n"/>
      <c r="E130" s="69" t="n"/>
      <c r="F130" s="69" t="n"/>
      <c r="G130" s="61" t="n"/>
      <c r="H130" s="69" t="n"/>
    </row>
    <row r="131" ht="15" customHeight="1" s="37">
      <c r="A131" s="69" t="n"/>
      <c r="B131" s="59" t="n"/>
      <c r="C131" s="69" t="n"/>
      <c r="D131" s="69" t="n"/>
      <c r="E131" s="69" t="n"/>
      <c r="F131" s="69" t="n"/>
      <c r="G131" s="61" t="n"/>
      <c r="H131" s="69" t="n"/>
    </row>
    <row r="132" ht="15" customHeight="1" s="37">
      <c r="A132" s="69" t="n"/>
      <c r="B132" s="59" t="n"/>
      <c r="C132" s="69" t="n"/>
      <c r="D132" s="69" t="n"/>
      <c r="E132" s="69" t="n"/>
      <c r="F132" s="69" t="n"/>
      <c r="G132" s="61" t="n"/>
      <c r="H132" s="69" t="n"/>
    </row>
    <row r="133" ht="15" customHeight="1" s="37">
      <c r="A133" s="69" t="n"/>
      <c r="B133" s="59" t="n"/>
      <c r="C133" s="69" t="n"/>
      <c r="D133" s="69" t="n"/>
      <c r="E133" s="69" t="n"/>
      <c r="F133" s="69" t="n"/>
      <c r="G133" s="61" t="n"/>
      <c r="H133" s="69" t="n"/>
    </row>
    <row r="134" ht="15" customHeight="1" s="37">
      <c r="A134" s="69" t="n"/>
      <c r="B134" s="59" t="n"/>
      <c r="C134" s="69" t="n"/>
      <c r="D134" s="69" t="n"/>
      <c r="E134" s="69" t="n"/>
      <c r="F134" s="69" t="n"/>
      <c r="G134" s="61" t="n"/>
      <c r="H134" s="69" t="n"/>
    </row>
    <row r="135" ht="15" customHeight="1" s="37">
      <c r="A135" s="69" t="n"/>
      <c r="B135" s="59" t="n"/>
      <c r="C135" s="69" t="n"/>
      <c r="D135" s="69" t="n"/>
      <c r="E135" s="69" t="n"/>
      <c r="F135" s="69" t="n"/>
      <c r="G135" s="61" t="n"/>
      <c r="H135" s="69" t="n"/>
    </row>
    <row r="136" ht="15" customHeight="1" s="37">
      <c r="A136" s="69" t="n"/>
      <c r="B136" s="59" t="n"/>
      <c r="C136" s="69" t="n"/>
      <c r="D136" s="69" t="n"/>
      <c r="E136" s="69" t="n"/>
      <c r="F136" s="69" t="n"/>
      <c r="G136" s="61" t="n"/>
      <c r="H136" s="69" t="n"/>
    </row>
    <row r="137" ht="15" customHeight="1" s="37">
      <c r="A137" s="69" t="n"/>
      <c r="B137" s="59" t="n"/>
      <c r="C137" s="69" t="n"/>
      <c r="D137" s="69" t="n"/>
      <c r="E137" s="69" t="n"/>
      <c r="F137" s="69" t="n"/>
      <c r="G137" s="61" t="n"/>
      <c r="H137" s="69" t="n"/>
    </row>
    <row r="138" ht="15" customHeight="1" s="37">
      <c r="A138" s="69" t="n"/>
      <c r="B138" s="59" t="n"/>
      <c r="C138" s="69" t="n"/>
      <c r="D138" s="69" t="n"/>
      <c r="E138" s="69" t="n"/>
      <c r="F138" s="69" t="n"/>
      <c r="G138" s="61" t="n"/>
      <c r="H138" s="69" t="n"/>
    </row>
    <row r="139" ht="15" customHeight="1" s="37">
      <c r="A139" s="69" t="n"/>
      <c r="B139" s="59" t="n"/>
      <c r="C139" s="69" t="n"/>
      <c r="D139" s="69" t="n"/>
      <c r="E139" s="69" t="n"/>
      <c r="F139" s="69" t="n"/>
      <c r="G139" s="61" t="n"/>
      <c r="H139" s="69" t="n"/>
    </row>
    <row r="140" ht="15" customHeight="1" s="37">
      <c r="A140" s="69" t="n"/>
      <c r="B140" s="59" t="n"/>
      <c r="C140" s="69" t="n"/>
      <c r="D140" s="69" t="n"/>
      <c r="E140" s="69" t="n"/>
      <c r="F140" s="69" t="n"/>
      <c r="G140" s="61" t="n"/>
      <c r="H140" s="69" t="n"/>
    </row>
    <row r="141" ht="15" customHeight="1" s="37">
      <c r="A141" s="69" t="n"/>
      <c r="B141" s="59" t="n"/>
      <c r="C141" s="69" t="n"/>
      <c r="D141" s="69" t="n"/>
      <c r="E141" s="69" t="n"/>
      <c r="F141" s="69" t="n"/>
      <c r="G141" s="61" t="n"/>
      <c r="H141" s="69" t="n"/>
    </row>
    <row r="142" ht="15" customHeight="1" s="37">
      <c r="A142" s="69" t="n"/>
      <c r="B142" s="59" t="n"/>
      <c r="C142" s="69" t="n"/>
      <c r="D142" s="69" t="n"/>
      <c r="E142" s="69" t="n"/>
      <c r="F142" s="69" t="n"/>
      <c r="G142" s="61" t="n"/>
      <c r="H142" s="69" t="n"/>
    </row>
    <row r="143" ht="15" customHeight="1" s="37">
      <c r="A143" s="69" t="n"/>
      <c r="B143" s="59" t="n"/>
      <c r="C143" s="69" t="n"/>
      <c r="D143" s="69" t="n"/>
      <c r="E143" s="69" t="n"/>
      <c r="F143" s="69" t="n"/>
      <c r="G143" s="61" t="n"/>
      <c r="H143" s="69" t="n"/>
    </row>
    <row r="144" ht="15" customHeight="1" s="37">
      <c r="A144" s="69" t="n"/>
      <c r="B144" s="59" t="n"/>
      <c r="C144" s="69" t="n"/>
      <c r="D144" s="69" t="n"/>
      <c r="E144" s="69" t="n"/>
      <c r="F144" s="69" t="n"/>
      <c r="G144" s="61" t="n"/>
      <c r="H144" s="69" t="n"/>
    </row>
    <row r="145" ht="15" customHeight="1" s="37">
      <c r="A145" s="69" t="n"/>
      <c r="B145" s="59" t="n"/>
      <c r="C145" s="69" t="n"/>
      <c r="D145" s="69" t="n"/>
      <c r="E145" s="69" t="n"/>
      <c r="F145" s="69" t="n"/>
      <c r="G145" s="61" t="n"/>
      <c r="H145" s="69" t="n"/>
    </row>
    <row r="146" ht="15" customHeight="1" s="37">
      <c r="A146" s="69" t="n"/>
      <c r="B146" s="59" t="n"/>
      <c r="C146" s="69" t="n"/>
      <c r="D146" s="69" t="n"/>
      <c r="E146" s="69" t="n"/>
      <c r="F146" s="69" t="n"/>
      <c r="G146" s="61" t="n"/>
      <c r="H146" s="69" t="n"/>
    </row>
    <row r="147" ht="15" customHeight="1" s="37">
      <c r="A147" s="69" t="n"/>
      <c r="B147" s="59" t="n"/>
      <c r="C147" s="69" t="n"/>
      <c r="D147" s="69" t="n"/>
      <c r="E147" s="69" t="n"/>
      <c r="F147" s="69" t="n"/>
      <c r="G147" s="61" t="n"/>
      <c r="H147" s="69" t="n"/>
    </row>
    <row r="148" ht="15" customHeight="1" s="37">
      <c r="A148" s="69" t="n"/>
      <c r="B148" s="59" t="n"/>
      <c r="C148" s="69" t="n"/>
      <c r="D148" s="69" t="n"/>
      <c r="E148" s="69" t="n"/>
      <c r="F148" s="69" t="n"/>
      <c r="G148" s="61" t="n"/>
      <c r="H148" s="69" t="n"/>
    </row>
    <row r="149" ht="15" customHeight="1" s="37">
      <c r="A149" s="69" t="n"/>
      <c r="B149" s="59" t="n"/>
      <c r="C149" s="69" t="n"/>
      <c r="D149" s="69" t="n"/>
      <c r="E149" s="69" t="n"/>
      <c r="F149" s="69" t="n"/>
      <c r="G149" s="61" t="n"/>
      <c r="H149" s="69" t="n"/>
    </row>
    <row r="150" ht="15" customHeight="1" s="37">
      <c r="A150" s="69" t="n"/>
      <c r="B150" s="59" t="n"/>
      <c r="C150" s="69" t="n"/>
      <c r="D150" s="69" t="n"/>
      <c r="E150" s="69" t="n"/>
      <c r="F150" s="69" t="n"/>
      <c r="G150" s="61" t="n"/>
      <c r="H150" s="69" t="n"/>
    </row>
    <row r="151" ht="15" customHeight="1" s="37">
      <c r="A151" s="69" t="n"/>
      <c r="B151" s="59" t="n"/>
      <c r="C151" s="69" t="n"/>
      <c r="D151" s="69" t="n"/>
      <c r="E151" s="69" t="n"/>
      <c r="F151" s="69" t="n"/>
      <c r="G151" s="61" t="n"/>
      <c r="H151" s="69" t="n"/>
    </row>
    <row r="152" ht="15" customHeight="1" s="37">
      <c r="A152" s="69" t="n"/>
      <c r="B152" s="59" t="n"/>
      <c r="C152" s="69" t="n"/>
      <c r="D152" s="69" t="n"/>
      <c r="E152" s="69" t="n"/>
      <c r="F152" s="69" t="n"/>
      <c r="G152" s="61" t="n"/>
      <c r="H152" s="69" t="n"/>
    </row>
    <row r="153" ht="15" customHeight="1" s="37">
      <c r="A153" s="69" t="n"/>
      <c r="B153" s="59" t="n"/>
      <c r="C153" s="69" t="n"/>
      <c r="D153" s="69" t="n"/>
      <c r="E153" s="69" t="n"/>
      <c r="F153" s="69" t="n"/>
      <c r="G153" s="61" t="n"/>
      <c r="H153" s="69" t="n"/>
    </row>
    <row r="154" ht="15" customHeight="1" s="37">
      <c r="A154" s="69" t="n"/>
      <c r="B154" s="59" t="n"/>
      <c r="C154" s="69" t="n"/>
      <c r="D154" s="69" t="n"/>
      <c r="E154" s="69" t="n"/>
      <c r="F154" s="69" t="n"/>
      <c r="G154" s="61" t="n"/>
      <c r="H154" s="69" t="n"/>
    </row>
    <row r="155" ht="15" customHeight="1" s="37">
      <c r="A155" s="69" t="n"/>
      <c r="B155" s="59" t="n"/>
      <c r="C155" s="69" t="n"/>
      <c r="D155" s="69" t="n"/>
      <c r="E155" s="69" t="n"/>
      <c r="F155" s="69" t="n"/>
      <c r="G155" s="61" t="n"/>
      <c r="H155" s="69" t="n"/>
    </row>
    <row r="156" ht="15" customHeight="1" s="37">
      <c r="A156" s="69" t="n"/>
      <c r="B156" s="59" t="n"/>
      <c r="C156" s="69" t="n"/>
      <c r="D156" s="69" t="n"/>
      <c r="E156" s="69" t="n"/>
      <c r="F156" s="69" t="n"/>
      <c r="G156" s="61" t="n"/>
      <c r="H156" s="69" t="n"/>
    </row>
    <row r="157" ht="15" customHeight="1" s="37">
      <c r="A157" s="69" t="n"/>
      <c r="B157" s="59" t="n"/>
      <c r="C157" s="69" t="n"/>
      <c r="D157" s="69" t="n"/>
      <c r="E157" s="69" t="n"/>
      <c r="F157" s="69" t="n"/>
      <c r="G157" s="61" t="n"/>
      <c r="H157" s="69" t="n"/>
    </row>
    <row r="158" ht="15" customHeight="1" s="37">
      <c r="A158" s="69" t="n"/>
      <c r="B158" s="59" t="n"/>
      <c r="C158" s="69" t="n"/>
      <c r="D158" s="69" t="n"/>
      <c r="E158" s="69" t="n"/>
      <c r="F158" s="69" t="n"/>
      <c r="G158" s="61" t="n"/>
      <c r="H158" s="69" t="n"/>
    </row>
    <row r="159" ht="15" customHeight="1" s="37">
      <c r="A159" s="69" t="n"/>
      <c r="B159" s="59" t="n"/>
      <c r="C159" s="69" t="n"/>
      <c r="D159" s="69" t="n"/>
      <c r="E159" s="69" t="n"/>
      <c r="F159" s="69" t="n"/>
      <c r="G159" s="61" t="n"/>
      <c r="H159" s="69" t="n"/>
    </row>
    <row r="160" ht="15" customHeight="1" s="37">
      <c r="A160" s="69" t="n"/>
      <c r="B160" s="59" t="n"/>
      <c r="C160" s="69" t="n"/>
      <c r="D160" s="69" t="n"/>
      <c r="E160" s="69" t="n"/>
      <c r="F160" s="69" t="n"/>
      <c r="G160" s="61" t="n"/>
      <c r="H160" s="69" t="n"/>
    </row>
    <row r="161" ht="15" customHeight="1" s="37">
      <c r="A161" s="69" t="n"/>
      <c r="B161" s="59" t="n"/>
      <c r="C161" s="69" t="n"/>
      <c r="D161" s="69" t="n"/>
      <c r="E161" s="69" t="n"/>
      <c r="F161" s="69" t="n"/>
      <c r="G161" s="61" t="n"/>
      <c r="H161" s="69" t="n"/>
    </row>
    <row r="162" ht="15" customHeight="1" s="37">
      <c r="A162" s="69" t="n"/>
      <c r="B162" s="59" t="n"/>
      <c r="C162" s="69" t="n"/>
      <c r="D162" s="69" t="n"/>
      <c r="E162" s="69" t="n"/>
      <c r="F162" s="69" t="n"/>
      <c r="G162" s="61" t="n"/>
      <c r="H162" s="69" t="n"/>
    </row>
    <row r="163" ht="15" customHeight="1" s="37">
      <c r="A163" s="69" t="n"/>
      <c r="B163" s="59" t="n"/>
      <c r="C163" s="69" t="n"/>
      <c r="D163" s="69" t="n"/>
      <c r="E163" s="69" t="n"/>
      <c r="F163" s="69" t="n"/>
      <c r="G163" s="61" t="n"/>
      <c r="H163" s="69" t="n"/>
    </row>
    <row r="164" ht="15" customHeight="1" s="37">
      <c r="A164" s="69" t="n"/>
      <c r="B164" s="59" t="n"/>
      <c r="C164" s="69" t="n"/>
      <c r="D164" s="69" t="n"/>
      <c r="E164" s="69" t="n"/>
      <c r="F164" s="69" t="n"/>
      <c r="G164" s="61" t="n"/>
      <c r="H164" s="69" t="n"/>
    </row>
    <row r="165" ht="15" customHeight="1" s="37">
      <c r="A165" s="69" t="n"/>
      <c r="B165" s="59" t="n"/>
      <c r="C165" s="69" t="n"/>
      <c r="D165" s="69" t="n"/>
      <c r="E165" s="69" t="n"/>
      <c r="F165" s="69" t="n"/>
      <c r="G165" s="61" t="n"/>
      <c r="H165" s="69" t="n"/>
    </row>
    <row r="166" ht="15" customHeight="1" s="37">
      <c r="A166" s="69" t="n"/>
      <c r="B166" s="59" t="n"/>
      <c r="C166" s="69" t="n"/>
      <c r="D166" s="69" t="n"/>
      <c r="E166" s="69" t="n"/>
      <c r="F166" s="69" t="n"/>
      <c r="G166" s="61" t="n"/>
      <c r="H166" s="69" t="n"/>
    </row>
    <row r="167" ht="15" customHeight="1" s="37">
      <c r="A167" s="69" t="n"/>
      <c r="B167" s="59" t="n"/>
      <c r="C167" s="69" t="n"/>
      <c r="D167" s="69" t="n"/>
      <c r="E167" s="69" t="n"/>
      <c r="F167" s="69" t="n"/>
      <c r="G167" s="61" t="n"/>
      <c r="H167" s="69" t="n"/>
    </row>
    <row r="168" ht="15" customHeight="1" s="37">
      <c r="A168" s="69" t="n"/>
      <c r="B168" s="59" t="n"/>
      <c r="C168" s="69" t="n"/>
      <c r="D168" s="69" t="n"/>
      <c r="E168" s="69" t="n"/>
      <c r="F168" s="69" t="n"/>
      <c r="G168" s="61" t="n"/>
      <c r="H168" s="69" t="n"/>
    </row>
    <row r="169" ht="15" customHeight="1" s="37">
      <c r="A169" s="69" t="n"/>
      <c r="B169" s="59" t="n"/>
      <c r="C169" s="69" t="n"/>
      <c r="D169" s="69" t="n"/>
      <c r="E169" s="69" t="n"/>
      <c r="F169" s="69" t="n"/>
      <c r="G169" s="61" t="n"/>
      <c r="H169" s="69" t="n"/>
    </row>
    <row r="170" ht="15" customHeight="1" s="37">
      <c r="A170" s="69" t="n"/>
      <c r="B170" s="59" t="n"/>
      <c r="C170" s="69" t="n"/>
      <c r="D170" s="69" t="n"/>
      <c r="E170" s="69" t="n"/>
      <c r="F170" s="69" t="n"/>
      <c r="G170" s="61" t="n"/>
      <c r="H170" s="69" t="n"/>
    </row>
    <row r="171" ht="15" customHeight="1" s="37">
      <c r="A171" s="69" t="n"/>
      <c r="B171" s="59" t="n"/>
      <c r="C171" s="69" t="n"/>
      <c r="D171" s="69" t="n"/>
      <c r="E171" s="69" t="n"/>
      <c r="F171" s="69" t="n"/>
      <c r="G171" s="61" t="n"/>
      <c r="H171" s="69" t="n"/>
    </row>
    <row r="172" ht="15" customHeight="1" s="37">
      <c r="A172" s="69" t="n"/>
      <c r="B172" s="59" t="n"/>
      <c r="C172" s="69" t="n"/>
      <c r="D172" s="69" t="n"/>
      <c r="E172" s="69" t="n"/>
      <c r="F172" s="69" t="n"/>
      <c r="G172" s="61" t="n"/>
      <c r="H172" s="69" t="n"/>
    </row>
    <row r="173" ht="15" customHeight="1" s="37">
      <c r="A173" s="69" t="n"/>
      <c r="B173" s="59" t="n"/>
      <c r="C173" s="69" t="n"/>
      <c r="D173" s="69" t="n"/>
      <c r="E173" s="69" t="n"/>
      <c r="F173" s="69" t="n"/>
      <c r="G173" s="61" t="n"/>
      <c r="H173" s="69" t="n"/>
    </row>
    <row r="174" ht="15" customHeight="1" s="37">
      <c r="A174" s="69" t="n"/>
      <c r="B174" s="59" t="n"/>
      <c r="C174" s="69" t="n"/>
      <c r="D174" s="69" t="n"/>
      <c r="E174" s="69" t="n"/>
      <c r="F174" s="69" t="n"/>
      <c r="G174" s="61" t="n"/>
      <c r="H174" s="69" t="n"/>
    </row>
    <row r="175" ht="15" customHeight="1" s="37">
      <c r="A175" s="69" t="n"/>
      <c r="B175" s="59" t="n"/>
      <c r="C175" s="69" t="n"/>
      <c r="D175" s="69" t="n"/>
      <c r="E175" s="69" t="n"/>
      <c r="F175" s="69" t="n"/>
      <c r="G175" s="61" t="n"/>
      <c r="H175" s="69" t="n"/>
    </row>
    <row r="176" ht="15" customHeight="1" s="37">
      <c r="A176" s="69" t="n"/>
      <c r="B176" s="59" t="n"/>
      <c r="C176" s="69" t="n"/>
      <c r="D176" s="69" t="n"/>
      <c r="E176" s="69" t="n"/>
      <c r="F176" s="69" t="n"/>
      <c r="G176" s="61" t="n"/>
      <c r="H176" s="69" t="n"/>
    </row>
    <row r="177" ht="15" customHeight="1" s="37">
      <c r="A177" s="69" t="n"/>
      <c r="B177" s="59" t="n"/>
      <c r="C177" s="69" t="n"/>
      <c r="D177" s="69" t="n"/>
      <c r="E177" s="69" t="n"/>
      <c r="F177" s="69" t="n"/>
      <c r="G177" s="61" t="n"/>
      <c r="H177" s="69" t="n"/>
    </row>
    <row r="178" ht="15" customHeight="1" s="37">
      <c r="A178" s="69" t="n"/>
      <c r="B178" s="59" t="n"/>
      <c r="C178" s="69" t="n"/>
      <c r="D178" s="69" t="n"/>
      <c r="E178" s="69" t="n"/>
      <c r="F178" s="69" t="n"/>
      <c r="G178" s="61" t="n"/>
      <c r="H178" s="69" t="n"/>
    </row>
    <row r="179" ht="15" customHeight="1" s="37">
      <c r="A179" s="69" t="n"/>
      <c r="B179" s="59" t="n"/>
      <c r="C179" s="69" t="n"/>
      <c r="D179" s="69" t="n"/>
      <c r="E179" s="69" t="n"/>
      <c r="F179" s="69" t="n"/>
      <c r="G179" s="61" t="n"/>
      <c r="H179" s="69" t="n"/>
    </row>
    <row r="180" ht="15" customHeight="1" s="37">
      <c r="A180" s="69" t="n"/>
      <c r="B180" s="59" t="n"/>
      <c r="C180" s="69" t="n"/>
      <c r="D180" s="69" t="n"/>
      <c r="E180" s="69" t="n"/>
      <c r="F180" s="69" t="n"/>
      <c r="G180" s="61" t="n"/>
      <c r="H180" s="69" t="n"/>
    </row>
    <row r="181" ht="15" customHeight="1" s="37">
      <c r="A181" s="69" t="n"/>
      <c r="B181" s="59" t="n"/>
      <c r="C181" s="69" t="n"/>
      <c r="D181" s="69" t="n"/>
      <c r="E181" s="69" t="n"/>
      <c r="F181" s="69" t="n"/>
      <c r="G181" s="61" t="n"/>
      <c r="H181" s="69" t="n"/>
    </row>
    <row r="182" ht="15" customHeight="1" s="37">
      <c r="A182" s="69" t="n"/>
      <c r="B182" s="59" t="n"/>
      <c r="C182" s="69" t="n"/>
      <c r="D182" s="69" t="n"/>
      <c r="E182" s="69" t="n"/>
      <c r="F182" s="69" t="n"/>
      <c r="G182" s="61" t="n"/>
      <c r="H182" s="69" t="n"/>
    </row>
    <row r="183" ht="15" customHeight="1" s="37">
      <c r="A183" s="69" t="n"/>
      <c r="B183" s="59" t="n"/>
      <c r="C183" s="69" t="n"/>
      <c r="D183" s="69" t="n"/>
      <c r="E183" s="69" t="n"/>
      <c r="F183" s="69" t="n"/>
      <c r="G183" s="61" t="n"/>
      <c r="H183" s="69" t="n"/>
    </row>
    <row r="184" ht="15" customHeight="1" s="37">
      <c r="A184" s="69" t="n"/>
      <c r="B184" s="59" t="n"/>
      <c r="C184" s="69" t="n"/>
      <c r="D184" s="69" t="n"/>
      <c r="E184" s="69" t="n"/>
      <c r="F184" s="69" t="n"/>
      <c r="G184" s="61" t="n"/>
      <c r="H184" s="69" t="n"/>
    </row>
    <row r="185" ht="15" customHeight="1" s="37">
      <c r="A185" s="69" t="n"/>
      <c r="B185" s="59" t="n"/>
      <c r="C185" s="69" t="n"/>
      <c r="D185" s="69" t="n"/>
      <c r="E185" s="69" t="n"/>
      <c r="F185" s="69" t="n"/>
      <c r="G185" s="61" t="n"/>
      <c r="H185" s="69" t="n"/>
    </row>
    <row r="186" ht="15" customHeight="1" s="37">
      <c r="A186" s="69" t="n"/>
      <c r="B186" s="59" t="n"/>
      <c r="C186" s="69" t="n"/>
      <c r="D186" s="69" t="n"/>
      <c r="E186" s="69" t="n"/>
      <c r="F186" s="69" t="n"/>
      <c r="G186" s="61" t="n"/>
      <c r="H186" s="69" t="n"/>
    </row>
    <row r="187" ht="15" customHeight="1" s="37">
      <c r="A187" s="69" t="n"/>
      <c r="B187" s="59" t="n"/>
      <c r="C187" s="69" t="n"/>
      <c r="D187" s="69" t="n"/>
      <c r="E187" s="69" t="n"/>
      <c r="F187" s="69" t="n"/>
      <c r="G187" s="61" t="n"/>
      <c r="H187" s="69" t="n"/>
    </row>
    <row r="188" ht="15" customHeight="1" s="37">
      <c r="A188" s="69" t="n"/>
      <c r="B188" s="59" t="n"/>
      <c r="C188" s="69" t="n"/>
      <c r="D188" s="69" t="n"/>
      <c r="E188" s="69" t="n"/>
      <c r="F188" s="69" t="n"/>
      <c r="G188" s="61" t="n"/>
      <c r="H188" s="69" t="n"/>
    </row>
    <row r="189" ht="15" customHeight="1" s="37">
      <c r="A189" s="69" t="n"/>
      <c r="B189" s="59" t="n"/>
      <c r="C189" s="69" t="n"/>
      <c r="D189" s="69" t="n"/>
      <c r="E189" s="69" t="n"/>
      <c r="F189" s="69" t="n"/>
      <c r="G189" s="61" t="n"/>
      <c r="H189" s="69" t="n"/>
    </row>
    <row r="190" ht="15" customHeight="1" s="37">
      <c r="A190" s="69" t="n"/>
      <c r="B190" s="59" t="n"/>
      <c r="C190" s="69" t="n"/>
      <c r="D190" s="69" t="n"/>
      <c r="E190" s="69" t="n"/>
      <c r="F190" s="69" t="n"/>
      <c r="G190" s="61" t="n"/>
      <c r="H190" s="69" t="n"/>
    </row>
    <row r="191" ht="15" customHeight="1" s="37">
      <c r="A191" s="69" t="n"/>
      <c r="B191" s="59" t="n"/>
      <c r="C191" s="69" t="n"/>
      <c r="D191" s="69" t="n"/>
      <c r="E191" s="69" t="n"/>
      <c r="F191" s="69" t="n"/>
      <c r="G191" s="61" t="n"/>
      <c r="H191" s="69" t="n"/>
    </row>
    <row r="192" ht="15" customHeight="1" s="37">
      <c r="A192" s="69" t="n"/>
      <c r="B192" s="59" t="n"/>
      <c r="C192" s="69" t="n"/>
      <c r="D192" s="69" t="n"/>
      <c r="E192" s="69" t="n"/>
      <c r="F192" s="69" t="n"/>
      <c r="G192" s="61" t="n"/>
      <c r="H192" s="69" t="n"/>
    </row>
    <row r="193" ht="15" customHeight="1" s="37">
      <c r="A193" s="69" t="n"/>
      <c r="B193" s="59" t="n"/>
      <c r="C193" s="69" t="n"/>
      <c r="D193" s="69" t="n"/>
      <c r="E193" s="69" t="n"/>
      <c r="F193" s="69" t="n"/>
      <c r="G193" s="61" t="n"/>
      <c r="H193" s="69" t="n"/>
    </row>
    <row r="194" ht="15" customHeight="1" s="37">
      <c r="A194" s="69" t="n"/>
      <c r="B194" s="59" t="n"/>
      <c r="C194" s="69" t="n"/>
      <c r="D194" s="69" t="n"/>
      <c r="E194" s="69" t="n"/>
      <c r="F194" s="69" t="n"/>
      <c r="G194" s="61" t="n"/>
      <c r="H194" s="69" t="n"/>
    </row>
    <row r="195" ht="15" customHeight="1" s="37">
      <c r="A195" s="69" t="n"/>
      <c r="B195" s="59" t="n"/>
      <c r="C195" s="69" t="n"/>
      <c r="D195" s="69" t="n"/>
      <c r="E195" s="69" t="n"/>
      <c r="F195" s="69" t="n"/>
      <c r="G195" s="61" t="n"/>
      <c r="H195" s="69" t="n"/>
    </row>
    <row r="196" ht="15" customHeight="1" s="37">
      <c r="A196" s="69" t="n"/>
      <c r="B196" s="59" t="n"/>
      <c r="C196" s="69" t="n"/>
      <c r="D196" s="69" t="n"/>
      <c r="E196" s="69" t="n"/>
      <c r="F196" s="69" t="n"/>
      <c r="G196" s="61" t="n"/>
      <c r="H196" s="69" t="n"/>
    </row>
    <row r="197" ht="15" customHeight="1" s="37">
      <c r="A197" s="69" t="n"/>
      <c r="B197" s="59" t="n"/>
      <c r="C197" s="69" t="n"/>
      <c r="D197" s="69" t="n"/>
      <c r="E197" s="69" t="n"/>
      <c r="F197" s="69" t="n"/>
      <c r="G197" s="61" t="n"/>
      <c r="H197" s="69" t="n"/>
    </row>
    <row r="198" ht="15" customHeight="1" s="37">
      <c r="A198" s="69" t="n"/>
      <c r="B198" s="59" t="n"/>
      <c r="C198" s="69" t="n"/>
      <c r="D198" s="69" t="n"/>
      <c r="E198" s="69" t="n"/>
      <c r="F198" s="69" t="n"/>
      <c r="G198" s="61" t="n"/>
      <c r="H198" s="69" t="n"/>
    </row>
    <row r="199" ht="15" customHeight="1" s="37">
      <c r="A199" s="69" t="n"/>
      <c r="B199" s="59" t="n"/>
      <c r="C199" s="69" t="n"/>
      <c r="D199" s="69" t="n"/>
      <c r="E199" s="69" t="n"/>
      <c r="F199" s="69" t="n"/>
      <c r="G199" s="61" t="n"/>
      <c r="H199" s="69" t="n"/>
    </row>
    <row r="200" ht="15" customHeight="1" s="37">
      <c r="A200" s="69" t="n"/>
      <c r="B200" s="59" t="n"/>
      <c r="C200" s="69" t="n"/>
      <c r="D200" s="69" t="n"/>
      <c r="E200" s="69" t="n"/>
      <c r="F200" s="69" t="n"/>
      <c r="G200" s="61" t="n"/>
      <c r="H200" s="69" t="n"/>
    </row>
    <row r="201" ht="15" customHeight="1" s="37">
      <c r="A201" s="69" t="n"/>
      <c r="B201" s="59" t="n"/>
      <c r="C201" s="69" t="n"/>
      <c r="D201" s="69" t="n"/>
      <c r="E201" s="69" t="n"/>
      <c r="F201" s="69" t="n"/>
      <c r="G201" s="61" t="n"/>
      <c r="H201" s="69" t="n"/>
    </row>
    <row r="202" ht="15" customHeight="1" s="37">
      <c r="A202" s="69" t="n"/>
      <c r="B202" s="59" t="n"/>
      <c r="C202" s="69" t="n"/>
      <c r="D202" s="69" t="n"/>
      <c r="E202" s="69" t="n"/>
      <c r="F202" s="69" t="n"/>
      <c r="G202" s="61" t="n"/>
      <c r="H202" s="69" t="n"/>
    </row>
    <row r="203" ht="15" customHeight="1" s="37">
      <c r="A203" s="69" t="n"/>
      <c r="B203" s="59" t="n"/>
      <c r="C203" s="69" t="n"/>
      <c r="D203" s="69" t="n"/>
      <c r="E203" s="69" t="n"/>
      <c r="F203" s="69" t="n"/>
      <c r="G203" s="61" t="n"/>
      <c r="H203" s="69" t="n"/>
    </row>
    <row r="204" ht="15" customHeight="1" s="37">
      <c r="A204" s="69" t="n"/>
      <c r="B204" s="59" t="n"/>
      <c r="C204" s="69" t="n"/>
      <c r="D204" s="69" t="n"/>
      <c r="E204" s="69" t="n"/>
      <c r="F204" s="69" t="n"/>
      <c r="G204" s="61" t="n"/>
      <c r="H204" s="69" t="n"/>
    </row>
    <row r="205" ht="15" customHeight="1" s="37">
      <c r="A205" s="69" t="n"/>
      <c r="B205" s="59" t="n"/>
      <c r="C205" s="69" t="n"/>
      <c r="D205" s="69" t="n"/>
      <c r="E205" s="69" t="n"/>
      <c r="F205" s="69" t="n"/>
      <c r="G205" s="61" t="n"/>
      <c r="H205" s="69" t="n"/>
    </row>
    <row r="206" ht="15" customHeight="1" s="37">
      <c r="A206" s="69" t="n"/>
      <c r="B206" s="59" t="n"/>
      <c r="C206" s="69" t="n"/>
      <c r="D206" s="69" t="n"/>
      <c r="E206" s="69" t="n"/>
      <c r="F206" s="69" t="n"/>
      <c r="G206" s="61" t="n"/>
      <c r="H206" s="69" t="n"/>
    </row>
    <row r="207" ht="15" customHeight="1" s="37">
      <c r="A207" s="69" t="n"/>
      <c r="B207" s="59" t="n"/>
      <c r="C207" s="69" t="n"/>
      <c r="D207" s="69" t="n"/>
      <c r="E207" s="69" t="n"/>
      <c r="F207" s="69" t="n"/>
      <c r="G207" s="61" t="n"/>
      <c r="H207" s="69" t="n"/>
    </row>
    <row r="208" ht="15" customHeight="1" s="37">
      <c r="A208" s="69" t="n"/>
      <c r="B208" s="59" t="n"/>
      <c r="C208" s="69" t="n"/>
      <c r="D208" s="69" t="n"/>
      <c r="E208" s="69" t="n"/>
      <c r="F208" s="69" t="n"/>
      <c r="G208" s="61" t="n"/>
      <c r="H208" s="69" t="n"/>
    </row>
    <row r="209" ht="15" customHeight="1" s="37">
      <c r="A209" s="69" t="n"/>
      <c r="B209" s="59" t="n"/>
      <c r="C209" s="69" t="n"/>
      <c r="D209" s="69" t="n"/>
      <c r="E209" s="69" t="n"/>
      <c r="F209" s="69" t="n"/>
      <c r="G209" s="61" t="n"/>
      <c r="H209" s="69" t="n"/>
    </row>
    <row r="210" ht="15" customHeight="1" s="37">
      <c r="A210" s="69" t="n"/>
      <c r="B210" s="59" t="n"/>
      <c r="C210" s="69" t="n"/>
      <c r="D210" s="69" t="n"/>
      <c r="E210" s="69" t="n"/>
      <c r="F210" s="69" t="n"/>
      <c r="G210" s="61" t="n"/>
      <c r="H210" s="69" t="n"/>
    </row>
    <row r="211" ht="15" customHeight="1" s="37">
      <c r="A211" s="69" t="n"/>
      <c r="B211" s="59" t="n"/>
      <c r="C211" s="69" t="n"/>
      <c r="D211" s="69" t="n"/>
      <c r="E211" s="69" t="n"/>
      <c r="F211" s="69" t="n"/>
      <c r="G211" s="61" t="n"/>
      <c r="H211" s="69" t="n"/>
    </row>
    <row r="212" ht="15" customHeight="1" s="37">
      <c r="A212" s="69" t="n"/>
      <c r="B212" s="59" t="n"/>
      <c r="C212" s="69" t="n"/>
      <c r="D212" s="69" t="n"/>
      <c r="E212" s="69" t="n"/>
      <c r="F212" s="69" t="n"/>
      <c r="G212" s="61" t="n"/>
      <c r="H212" s="69" t="n"/>
    </row>
    <row r="213" ht="15" customHeight="1" s="37">
      <c r="A213" s="69" t="n"/>
      <c r="B213" s="59" t="n"/>
      <c r="C213" s="69" t="n"/>
      <c r="D213" s="69" t="n"/>
      <c r="E213" s="69" t="n"/>
      <c r="F213" s="69" t="n"/>
      <c r="G213" s="61" t="n"/>
      <c r="H213" s="69" t="n"/>
    </row>
    <row r="214" ht="15" customHeight="1" s="37">
      <c r="A214" s="69" t="n"/>
      <c r="B214" s="59" t="n"/>
      <c r="C214" s="69" t="n"/>
      <c r="D214" s="69" t="n"/>
      <c r="E214" s="69" t="n"/>
      <c r="F214" s="69" t="n"/>
      <c r="G214" s="61" t="n"/>
      <c r="H214" s="69" t="n"/>
    </row>
    <row r="215" ht="15" customHeight="1" s="37">
      <c r="A215" s="69" t="n"/>
      <c r="B215" s="59" t="n"/>
      <c r="C215" s="69" t="n"/>
      <c r="D215" s="69" t="n"/>
      <c r="E215" s="69" t="n"/>
      <c r="F215" s="69" t="n"/>
      <c r="G215" s="61" t="n"/>
      <c r="H215" s="69" t="n"/>
    </row>
    <row r="216" ht="15" customHeight="1" s="37">
      <c r="A216" s="69" t="n"/>
      <c r="B216" s="59" t="n"/>
      <c r="C216" s="69" t="n"/>
      <c r="D216" s="69" t="n"/>
      <c r="E216" s="69" t="n"/>
      <c r="F216" s="69" t="n"/>
      <c r="G216" s="61" t="n"/>
      <c r="H216" s="69" t="n"/>
    </row>
    <row r="217" ht="15" customHeight="1" s="37">
      <c r="A217" s="69" t="n"/>
      <c r="B217" s="59" t="n"/>
      <c r="C217" s="69" t="n"/>
      <c r="D217" s="69" t="n"/>
      <c r="E217" s="69" t="n"/>
      <c r="F217" s="69" t="n"/>
      <c r="G217" s="61" t="n"/>
      <c r="H217" s="69" t="n"/>
    </row>
    <row r="218" ht="15" customHeight="1" s="37">
      <c r="A218" s="69" t="n"/>
      <c r="B218" s="59" t="n"/>
      <c r="C218" s="69" t="n"/>
      <c r="D218" s="69" t="n"/>
      <c r="E218" s="69" t="n"/>
      <c r="F218" s="69" t="n"/>
      <c r="G218" s="61" t="n"/>
      <c r="H218" s="69" t="n"/>
    </row>
    <row r="219" ht="15" customHeight="1" s="37">
      <c r="A219" s="69" t="n"/>
      <c r="B219" s="59" t="n"/>
      <c r="C219" s="69" t="n"/>
      <c r="D219" s="69" t="n"/>
      <c r="E219" s="69" t="n"/>
      <c r="F219" s="69" t="n"/>
      <c r="G219" s="61" t="n"/>
      <c r="H219" s="69" t="n"/>
    </row>
    <row r="220" ht="15" customHeight="1" s="37">
      <c r="A220" s="69" t="n"/>
      <c r="B220" s="59" t="n"/>
      <c r="C220" s="69" t="n"/>
      <c r="D220" s="69" t="n"/>
      <c r="E220" s="69" t="n"/>
      <c r="F220" s="69" t="n"/>
      <c r="G220" s="61" t="n"/>
      <c r="H220" s="69" t="n"/>
    </row>
    <row r="221" ht="15" customHeight="1" s="37">
      <c r="A221" s="69" t="n"/>
      <c r="B221" s="59" t="n"/>
      <c r="C221" s="69" t="n"/>
      <c r="D221" s="69" t="n"/>
      <c r="E221" s="69" t="n"/>
      <c r="F221" s="69" t="n"/>
      <c r="G221" s="61" t="n"/>
      <c r="H221" s="69" t="n"/>
    </row>
    <row r="222" ht="15" customHeight="1" s="37">
      <c r="A222" s="69" t="n"/>
      <c r="B222" s="59" t="n"/>
      <c r="C222" s="69" t="n"/>
      <c r="D222" s="69" t="n"/>
      <c r="E222" s="69" t="n"/>
      <c r="F222" s="69" t="n"/>
      <c r="G222" s="61" t="n"/>
      <c r="H222" s="69" t="n"/>
    </row>
    <row r="223" ht="15" customHeight="1" s="37">
      <c r="A223" s="69" t="n"/>
      <c r="B223" s="59" t="n"/>
      <c r="C223" s="69" t="n"/>
      <c r="D223" s="69" t="n"/>
      <c r="E223" s="69" t="n"/>
      <c r="F223" s="69" t="n"/>
      <c r="G223" s="61" t="n"/>
      <c r="H223" s="69" t="n"/>
    </row>
    <row r="224" ht="15" customHeight="1" s="37">
      <c r="A224" s="69" t="n"/>
      <c r="B224" s="59" t="n"/>
      <c r="C224" s="69" t="n"/>
      <c r="D224" s="69" t="n"/>
      <c r="E224" s="69" t="n"/>
      <c r="F224" s="69" t="n"/>
      <c r="G224" s="61" t="n"/>
      <c r="H224" s="69" t="n"/>
    </row>
    <row r="225" ht="15" customHeight="1" s="37">
      <c r="A225" s="69" t="n"/>
      <c r="B225" s="59" t="n"/>
      <c r="C225" s="69" t="n"/>
      <c r="D225" s="69" t="n"/>
      <c r="E225" s="69" t="n"/>
      <c r="F225" s="69" t="n"/>
      <c r="G225" s="61" t="n"/>
      <c r="H225" s="69" t="n"/>
    </row>
    <row r="226" ht="15" customHeight="1" s="37">
      <c r="A226" s="69" t="n"/>
      <c r="B226" s="59" t="n"/>
      <c r="C226" s="69" t="n"/>
      <c r="D226" s="69" t="n"/>
      <c r="E226" s="69" t="n"/>
      <c r="F226" s="69" t="n"/>
      <c r="G226" s="61" t="n"/>
      <c r="H226" s="69" t="n"/>
    </row>
    <row r="227" ht="15" customHeight="1" s="37">
      <c r="A227" s="69" t="n"/>
      <c r="B227" s="59" t="n"/>
      <c r="C227" s="69" t="n"/>
      <c r="D227" s="69" t="n"/>
      <c r="E227" s="69" t="n"/>
      <c r="F227" s="69" t="n"/>
      <c r="G227" s="61" t="n"/>
      <c r="H227" s="69" t="n"/>
    </row>
    <row r="228" ht="15" customHeight="1" s="37">
      <c r="A228" s="69" t="n"/>
      <c r="B228" s="59" t="n"/>
      <c r="C228" s="69" t="n"/>
      <c r="D228" s="69" t="n"/>
      <c r="E228" s="69" t="n"/>
      <c r="F228" s="69" t="n"/>
      <c r="G228" s="61" t="n"/>
      <c r="H228" s="69" t="n"/>
    </row>
    <row r="229" ht="15" customHeight="1" s="37">
      <c r="A229" s="69" t="n"/>
      <c r="B229" s="59" t="n"/>
      <c r="C229" s="69" t="n"/>
      <c r="D229" s="69" t="n"/>
      <c r="E229" s="69" t="n"/>
      <c r="F229" s="69" t="n"/>
      <c r="G229" s="61" t="n"/>
      <c r="H229" s="69" t="n"/>
    </row>
    <row r="230" ht="15" customHeight="1" s="37">
      <c r="A230" s="69" t="n"/>
      <c r="B230" s="59" t="n"/>
      <c r="C230" s="69" t="n"/>
      <c r="D230" s="69" t="n"/>
      <c r="E230" s="69" t="n"/>
      <c r="F230" s="69" t="n"/>
      <c r="G230" s="61" t="n"/>
      <c r="H230" s="69" t="n"/>
    </row>
    <row r="231" ht="15" customHeight="1" s="37">
      <c r="A231" s="69" t="n"/>
      <c r="B231" s="59" t="n"/>
      <c r="C231" s="69" t="n"/>
      <c r="D231" s="69" t="n"/>
      <c r="E231" s="69" t="n"/>
      <c r="F231" s="69" t="n"/>
      <c r="G231" s="61" t="n"/>
      <c r="H231" s="69" t="n"/>
    </row>
    <row r="232" ht="15" customHeight="1" s="37">
      <c r="A232" s="69" t="n"/>
      <c r="B232" s="59" t="n"/>
      <c r="C232" s="69" t="n"/>
      <c r="D232" s="69" t="n"/>
      <c r="E232" s="69" t="n"/>
      <c r="F232" s="69" t="n"/>
      <c r="G232" s="61" t="n"/>
      <c r="H232" s="69" t="n"/>
    </row>
    <row r="233" ht="15" customHeight="1" s="37">
      <c r="A233" s="69" t="n"/>
      <c r="B233" s="59" t="n"/>
      <c r="C233" s="69" t="n"/>
      <c r="D233" s="69" t="n"/>
      <c r="E233" s="69" t="n"/>
      <c r="F233" s="69" t="n"/>
      <c r="G233" s="61" t="n"/>
      <c r="H233" s="69" t="n"/>
    </row>
    <row r="234" ht="15" customHeight="1" s="37">
      <c r="A234" s="69" t="n"/>
      <c r="B234" s="59" t="n"/>
      <c r="C234" s="69" t="n"/>
      <c r="D234" s="69" t="n"/>
      <c r="E234" s="69" t="n"/>
      <c r="F234" s="69" t="n"/>
      <c r="G234" s="61" t="n"/>
      <c r="H234" s="69" t="n"/>
    </row>
    <row r="235" ht="15" customHeight="1" s="37">
      <c r="A235" s="69" t="n"/>
      <c r="B235" s="59" t="n"/>
      <c r="C235" s="69" t="n"/>
      <c r="D235" s="69" t="n"/>
      <c r="E235" s="69" t="n"/>
      <c r="F235" s="69" t="n"/>
      <c r="G235" s="61" t="n"/>
      <c r="H235" s="69" t="n"/>
    </row>
    <row r="236" ht="15" customHeight="1" s="37">
      <c r="A236" s="69" t="n"/>
      <c r="B236" s="59" t="n"/>
      <c r="C236" s="69" t="n"/>
      <c r="D236" s="69" t="n"/>
      <c r="E236" s="69" t="n"/>
      <c r="F236" s="69" t="n"/>
      <c r="G236" s="61" t="n"/>
      <c r="H236" s="69" t="n"/>
    </row>
    <row r="237" ht="15" customHeight="1" s="37">
      <c r="A237" s="69" t="n"/>
      <c r="B237" s="59" t="n"/>
      <c r="C237" s="69" t="n"/>
      <c r="D237" s="69" t="n"/>
      <c r="E237" s="69" t="n"/>
      <c r="F237" s="69" t="n"/>
      <c r="G237" s="61" t="n"/>
      <c r="H237" s="69" t="n"/>
    </row>
    <row r="238" ht="15" customHeight="1" s="37">
      <c r="A238" s="69" t="n"/>
      <c r="B238" s="59" t="n"/>
      <c r="C238" s="69" t="n"/>
      <c r="D238" s="69" t="n"/>
      <c r="E238" s="69" t="n"/>
      <c r="F238" s="69" t="n"/>
      <c r="G238" s="61" t="n"/>
      <c r="H238" s="69" t="n"/>
    </row>
    <row r="239" ht="15" customHeight="1" s="37">
      <c r="A239" s="69" t="n"/>
      <c r="B239" s="59" t="n"/>
      <c r="C239" s="69" t="n"/>
      <c r="D239" s="69" t="n"/>
      <c r="E239" s="69" t="n"/>
      <c r="F239" s="69" t="n"/>
      <c r="G239" s="61" t="n"/>
      <c r="H239" s="69" t="n"/>
    </row>
    <row r="240" ht="15" customHeight="1" s="37">
      <c r="A240" s="69" t="n"/>
      <c r="B240" s="59" t="n"/>
      <c r="C240" s="69" t="n"/>
      <c r="D240" s="69" t="n"/>
      <c r="E240" s="69" t="n"/>
      <c r="F240" s="69" t="n"/>
      <c r="G240" s="61" t="n"/>
      <c r="H240" s="69" t="n"/>
    </row>
    <row r="241" ht="15" customHeight="1" s="37">
      <c r="A241" s="69" t="n"/>
      <c r="B241" s="59" t="n"/>
      <c r="C241" s="69" t="n"/>
      <c r="D241" s="69" t="n"/>
      <c r="E241" s="69" t="n"/>
      <c r="F241" s="69" t="n"/>
      <c r="G241" s="61" t="n"/>
      <c r="H241" s="69" t="n"/>
    </row>
    <row r="242" ht="15" customHeight="1" s="37">
      <c r="A242" s="69" t="n"/>
      <c r="B242" s="59" t="n"/>
      <c r="C242" s="69" t="n"/>
      <c r="D242" s="69" t="n"/>
      <c r="E242" s="69" t="n"/>
      <c r="F242" s="69" t="n"/>
      <c r="G242" s="61" t="n"/>
      <c r="H242" s="69" t="n"/>
    </row>
    <row r="243" ht="15" customHeight="1" s="37">
      <c r="A243" s="69" t="n"/>
      <c r="B243" s="59" t="n"/>
      <c r="C243" s="69" t="n"/>
      <c r="D243" s="69" t="n"/>
      <c r="E243" s="69" t="n"/>
      <c r="F243" s="69" t="n"/>
      <c r="G243" s="61" t="n"/>
      <c r="H243" s="69" t="n"/>
    </row>
    <row r="244" ht="15" customHeight="1" s="37">
      <c r="A244" s="69" t="n"/>
      <c r="B244" s="59" t="n"/>
      <c r="C244" s="69" t="n"/>
      <c r="D244" s="69" t="n"/>
      <c r="E244" s="69" t="n"/>
      <c r="F244" s="69" t="n"/>
      <c r="G244" s="61" t="n"/>
      <c r="H244" s="69" t="n"/>
    </row>
    <row r="245" ht="15" customHeight="1" s="37">
      <c r="A245" s="69" t="n"/>
      <c r="B245" s="59" t="n"/>
      <c r="C245" s="69" t="n"/>
      <c r="D245" s="69" t="n"/>
      <c r="E245" s="69" t="n"/>
      <c r="F245" s="69" t="n"/>
      <c r="G245" s="61" t="n"/>
      <c r="H245" s="69" t="n"/>
    </row>
    <row r="246" ht="15" customHeight="1" s="37">
      <c r="A246" s="69" t="n"/>
      <c r="B246" s="59" t="n"/>
      <c r="C246" s="69" t="n"/>
      <c r="D246" s="69" t="n"/>
      <c r="E246" s="69" t="n"/>
      <c r="F246" s="69" t="n"/>
      <c r="G246" s="61" t="n"/>
      <c r="H246" s="69" t="n"/>
    </row>
    <row r="247" ht="15" customHeight="1" s="37">
      <c r="A247" s="69" t="n"/>
      <c r="B247" s="59" t="n"/>
      <c r="C247" s="69" t="n"/>
      <c r="D247" s="69" t="n"/>
      <c r="E247" s="69" t="n"/>
      <c r="F247" s="69" t="n"/>
      <c r="G247" s="61" t="n"/>
      <c r="H247" s="69" t="n"/>
    </row>
    <row r="248" ht="15" customHeight="1" s="37">
      <c r="A248" s="69" t="n"/>
      <c r="B248" s="59" t="n"/>
      <c r="C248" s="69" t="n"/>
      <c r="D248" s="69" t="n"/>
      <c r="E248" s="69" t="n"/>
      <c r="F248" s="69" t="n"/>
      <c r="G248" s="61" t="n"/>
      <c r="H248" s="69" t="n"/>
    </row>
    <row r="249" ht="15" customHeight="1" s="37">
      <c r="A249" s="69" t="n"/>
      <c r="B249" s="59" t="n"/>
      <c r="C249" s="69" t="n"/>
      <c r="D249" s="69" t="n"/>
      <c r="E249" s="69" t="n"/>
      <c r="F249" s="69" t="n"/>
      <c r="G249" s="61" t="n"/>
      <c r="H249" s="69" t="n"/>
    </row>
    <row r="250" ht="15" customHeight="1" s="37">
      <c r="A250" s="69" t="n"/>
      <c r="B250" s="59" t="n"/>
      <c r="C250" s="69" t="n"/>
      <c r="D250" s="69" t="n"/>
      <c r="E250" s="69" t="n"/>
      <c r="F250" s="69" t="n"/>
      <c r="G250" s="61" t="n"/>
      <c r="H250" s="69" t="n"/>
    </row>
    <row r="251" ht="15" customHeight="1" s="37">
      <c r="A251" s="69" t="n"/>
      <c r="B251" s="59" t="n"/>
      <c r="C251" s="69" t="n"/>
      <c r="D251" s="69" t="n"/>
      <c r="E251" s="69" t="n"/>
      <c r="F251" s="69" t="n"/>
      <c r="G251" s="61" t="n"/>
      <c r="H251" s="69" t="n"/>
    </row>
    <row r="252" ht="15" customHeight="1" s="37">
      <c r="A252" s="69" t="n"/>
      <c r="B252" s="59" t="n"/>
      <c r="C252" s="69" t="n"/>
      <c r="D252" s="69" t="n"/>
      <c r="E252" s="69" t="n"/>
      <c r="F252" s="69" t="n"/>
      <c r="G252" s="61" t="n"/>
      <c r="H252" s="69" t="n"/>
    </row>
    <row r="253" ht="15" customHeight="1" s="37">
      <c r="A253" s="69" t="n"/>
      <c r="B253" s="59" t="n"/>
      <c r="C253" s="69" t="n"/>
      <c r="D253" s="69" t="n"/>
      <c r="E253" s="69" t="n"/>
      <c r="F253" s="69" t="n"/>
      <c r="G253" s="61" t="n"/>
      <c r="H253" s="69" t="n"/>
    </row>
    <row r="254" ht="15" customHeight="1" s="37">
      <c r="A254" s="69" t="n"/>
      <c r="B254" s="59" t="n"/>
      <c r="C254" s="69" t="n"/>
      <c r="D254" s="69" t="n"/>
      <c r="E254" s="69" t="n"/>
      <c r="F254" s="69" t="n"/>
      <c r="G254" s="61" t="n"/>
      <c r="H254" s="69" t="n"/>
    </row>
    <row r="255" ht="15" customHeight="1" s="37">
      <c r="A255" s="69" t="n"/>
      <c r="B255" s="59" t="n"/>
      <c r="C255" s="69" t="n"/>
      <c r="D255" s="69" t="n"/>
      <c r="E255" s="69" t="n"/>
      <c r="F255" s="69" t="n"/>
      <c r="G255" s="61" t="n"/>
      <c r="H255" s="69" t="n"/>
    </row>
    <row r="256" ht="15" customHeight="1" s="37">
      <c r="A256" s="69" t="n"/>
      <c r="B256" s="59" t="n"/>
      <c r="C256" s="69" t="n"/>
      <c r="D256" s="69" t="n"/>
      <c r="E256" s="69" t="n"/>
      <c r="F256" s="69" t="n"/>
      <c r="G256" s="61" t="n"/>
      <c r="H256" s="69" t="n"/>
    </row>
    <row r="257" ht="15" customHeight="1" s="37">
      <c r="A257" s="69" t="n"/>
      <c r="B257" s="59" t="n"/>
      <c r="C257" s="69" t="n"/>
      <c r="D257" s="69" t="n"/>
      <c r="E257" s="69" t="n"/>
      <c r="F257" s="69" t="n"/>
      <c r="G257" s="61" t="n"/>
      <c r="H257" s="69" t="n"/>
    </row>
    <row r="258" ht="15" customHeight="1" s="37">
      <c r="A258" s="69" t="n"/>
      <c r="B258" s="59" t="n"/>
      <c r="C258" s="69" t="n"/>
      <c r="D258" s="69" t="n"/>
      <c r="E258" s="69" t="n"/>
      <c r="F258" s="69" t="n"/>
      <c r="G258" s="61" t="n"/>
      <c r="H258" s="69" t="n"/>
    </row>
    <row r="259" ht="15" customHeight="1" s="37">
      <c r="A259" s="69" t="n"/>
      <c r="B259" s="59" t="n"/>
      <c r="C259" s="69" t="n"/>
      <c r="D259" s="69" t="n"/>
      <c r="E259" s="69" t="n"/>
      <c r="F259" s="69" t="n"/>
      <c r="G259" s="61" t="n"/>
      <c r="H259" s="69" t="n"/>
    </row>
    <row r="260" ht="15" customHeight="1" s="37">
      <c r="A260" s="69" t="n"/>
      <c r="B260" s="59" t="n"/>
      <c r="C260" s="69" t="n"/>
      <c r="D260" s="69" t="n"/>
      <c r="E260" s="69" t="n"/>
      <c r="F260" s="69" t="n"/>
      <c r="G260" s="61" t="n"/>
      <c r="H260" s="69" t="n"/>
    </row>
    <row r="261" ht="15" customHeight="1" s="37">
      <c r="A261" s="69" t="n"/>
      <c r="B261" s="59" t="n"/>
      <c r="C261" s="69" t="n"/>
      <c r="D261" s="69" t="n"/>
      <c r="E261" s="69" t="n"/>
      <c r="F261" s="69" t="n"/>
      <c r="G261" s="61" t="n"/>
      <c r="H261" s="69" t="n"/>
    </row>
    <row r="262" ht="15" customHeight="1" s="37">
      <c r="A262" s="69" t="n"/>
      <c r="B262" s="59" t="n"/>
      <c r="C262" s="69" t="n"/>
      <c r="D262" s="69" t="n"/>
      <c r="E262" s="69" t="n"/>
      <c r="F262" s="69" t="n"/>
      <c r="G262" s="61" t="n"/>
      <c r="H262" s="69" t="n"/>
    </row>
    <row r="263" ht="15" customHeight="1" s="37">
      <c r="A263" s="69" t="n"/>
      <c r="B263" s="59" t="n"/>
      <c r="C263" s="69" t="n"/>
      <c r="D263" s="69" t="n"/>
      <c r="E263" s="69" t="n"/>
      <c r="F263" s="69" t="n"/>
      <c r="G263" s="61" t="n"/>
      <c r="H263" s="69" t="n"/>
    </row>
    <row r="264" ht="15" customHeight="1" s="37">
      <c r="A264" s="69" t="n"/>
      <c r="B264" s="59" t="n"/>
      <c r="C264" s="69" t="n"/>
      <c r="D264" s="69" t="n"/>
      <c r="E264" s="69" t="n"/>
      <c r="F264" s="69" t="n"/>
      <c r="G264" s="61" t="n"/>
      <c r="H264" s="69" t="n"/>
    </row>
    <row r="265" ht="15" customHeight="1" s="37">
      <c r="A265" s="69" t="n"/>
      <c r="B265" s="59" t="n"/>
      <c r="C265" s="69" t="n"/>
      <c r="D265" s="69" t="n"/>
      <c r="E265" s="69" t="n"/>
      <c r="F265" s="69" t="n"/>
      <c r="G265" s="61" t="n"/>
      <c r="H265" s="69" t="n"/>
    </row>
    <row r="266" ht="15" customHeight="1" s="37">
      <c r="A266" s="69" t="n"/>
      <c r="B266" s="59" t="n"/>
      <c r="C266" s="69" t="n"/>
      <c r="D266" s="69" t="n"/>
      <c r="E266" s="69" t="n"/>
      <c r="F266" s="69" t="n"/>
      <c r="G266" s="61" t="n"/>
      <c r="H266" s="69" t="n"/>
    </row>
    <row r="267" ht="15" customHeight="1" s="37">
      <c r="A267" s="69" t="n"/>
      <c r="B267" s="59" t="n"/>
      <c r="C267" s="69" t="n"/>
      <c r="D267" s="69" t="n"/>
      <c r="E267" s="69" t="n"/>
      <c r="F267" s="69" t="n"/>
      <c r="G267" s="61" t="n"/>
      <c r="H267" s="69" t="n"/>
    </row>
    <row r="268" ht="15" customHeight="1" s="37">
      <c r="A268" s="69" t="n"/>
      <c r="B268" s="59" t="n"/>
      <c r="C268" s="69" t="n"/>
      <c r="D268" s="69" t="n"/>
      <c r="E268" s="69" t="n"/>
      <c r="F268" s="69" t="n"/>
      <c r="G268" s="61" t="n"/>
      <c r="H268" s="69" t="n"/>
    </row>
    <row r="269" ht="15" customHeight="1" s="37">
      <c r="A269" s="69" t="n"/>
      <c r="B269" s="59" t="n"/>
      <c r="C269" s="69" t="n"/>
      <c r="D269" s="69" t="n"/>
      <c r="E269" s="69" t="n"/>
      <c r="F269" s="69" t="n"/>
      <c r="G269" s="61" t="n"/>
      <c r="H269" s="69" t="n"/>
    </row>
    <row r="270" ht="15" customHeight="1" s="37">
      <c r="A270" s="69" t="n"/>
      <c r="B270" s="59" t="n"/>
      <c r="C270" s="69" t="n"/>
      <c r="D270" s="69" t="n"/>
      <c r="E270" s="69" t="n"/>
      <c r="F270" s="69" t="n"/>
      <c r="G270" s="61" t="n"/>
      <c r="H270" s="69" t="n"/>
    </row>
    <row r="271" ht="15" customHeight="1" s="37">
      <c r="A271" s="69" t="n"/>
      <c r="B271" s="59" t="n"/>
      <c r="C271" s="69" t="n"/>
      <c r="D271" s="69" t="n"/>
      <c r="E271" s="69" t="n"/>
      <c r="F271" s="69" t="n"/>
      <c r="G271" s="61" t="n"/>
      <c r="H271" s="69" t="n"/>
    </row>
    <row r="272" ht="15" customHeight="1" s="37">
      <c r="A272" s="69" t="n"/>
      <c r="B272" s="59" t="n"/>
      <c r="C272" s="69" t="n"/>
      <c r="D272" s="69" t="n"/>
      <c r="E272" s="69" t="n"/>
      <c r="F272" s="69" t="n"/>
      <c r="G272" s="61" t="n"/>
      <c r="H272" s="69" t="n"/>
    </row>
    <row r="273" ht="15" customHeight="1" s="37">
      <c r="A273" s="69" t="n"/>
      <c r="B273" s="59" t="n"/>
      <c r="C273" s="69" t="n"/>
      <c r="D273" s="69" t="n"/>
      <c r="E273" s="69" t="n"/>
      <c r="F273" s="69" t="n"/>
      <c r="G273" s="61" t="n"/>
      <c r="H273" s="69" t="n"/>
    </row>
    <row r="274" ht="15" customHeight="1" s="37">
      <c r="A274" s="69" t="n"/>
      <c r="B274" s="59" t="n"/>
      <c r="C274" s="69" t="n"/>
      <c r="D274" s="69" t="n"/>
      <c r="E274" s="69" t="n"/>
      <c r="F274" s="69" t="n"/>
      <c r="G274" s="61" t="n"/>
      <c r="H274" s="69" t="n"/>
    </row>
    <row r="275" ht="15" customHeight="1" s="37">
      <c r="A275" s="69" t="n"/>
      <c r="B275" s="59" t="n"/>
      <c r="C275" s="69" t="n"/>
      <c r="D275" s="69" t="n"/>
      <c r="E275" s="69" t="n"/>
      <c r="F275" s="69" t="n"/>
      <c r="G275" s="61" t="n"/>
      <c r="H275" s="69" t="n"/>
    </row>
    <row r="276" ht="15" customHeight="1" s="37">
      <c r="A276" s="69" t="n"/>
      <c r="B276" s="59" t="n"/>
      <c r="C276" s="69" t="n"/>
      <c r="D276" s="69" t="n"/>
      <c r="E276" s="69" t="n"/>
      <c r="F276" s="69" t="n"/>
      <c r="G276" s="61" t="n"/>
      <c r="H276" s="69" t="n"/>
    </row>
    <row r="277" ht="15" customHeight="1" s="37">
      <c r="A277" s="69" t="n"/>
      <c r="B277" s="59" t="n"/>
      <c r="C277" s="69" t="n"/>
      <c r="D277" s="69" t="n"/>
      <c r="E277" s="69" t="n"/>
      <c r="F277" s="69" t="n"/>
      <c r="G277" s="61" t="n"/>
      <c r="H277" s="69" t="n"/>
    </row>
    <row r="278" ht="15" customHeight="1" s="37">
      <c r="A278" s="69" t="n"/>
      <c r="B278" s="59" t="n"/>
      <c r="C278" s="69" t="n"/>
      <c r="D278" s="69" t="n"/>
      <c r="E278" s="69" t="n"/>
      <c r="F278" s="69" t="n"/>
      <c r="G278" s="61" t="n"/>
      <c r="H278" s="69" t="n"/>
    </row>
    <row r="279" ht="15" customHeight="1" s="37">
      <c r="A279" s="69" t="n"/>
      <c r="B279" s="59" t="n"/>
      <c r="C279" s="69" t="n"/>
      <c r="D279" s="69" t="n"/>
      <c r="E279" s="69" t="n"/>
      <c r="F279" s="69" t="n"/>
      <c r="G279" s="61" t="n"/>
      <c r="H279" s="69" t="n"/>
    </row>
    <row r="280" ht="15" customHeight="1" s="37">
      <c r="A280" s="69" t="n"/>
      <c r="B280" s="59" t="n"/>
      <c r="C280" s="69" t="n"/>
      <c r="D280" s="69" t="n"/>
      <c r="E280" s="69" t="n"/>
      <c r="F280" s="69" t="n"/>
      <c r="G280" s="61" t="n"/>
      <c r="H280" s="69" t="n"/>
    </row>
    <row r="281" ht="15" customHeight="1" s="37">
      <c r="A281" s="69" t="n"/>
      <c r="B281" s="59" t="n"/>
      <c r="C281" s="69" t="n"/>
      <c r="D281" s="69" t="n"/>
      <c r="E281" s="69" t="n"/>
      <c r="F281" s="69" t="n"/>
      <c r="G281" s="61" t="n"/>
      <c r="H281" s="69" t="n"/>
    </row>
    <row r="282" ht="15" customHeight="1" s="37">
      <c r="A282" s="69" t="n"/>
      <c r="B282" s="59" t="n"/>
      <c r="C282" s="69" t="n"/>
      <c r="D282" s="69" t="n"/>
      <c r="E282" s="69" t="n"/>
      <c r="F282" s="69" t="n"/>
      <c r="G282" s="61" t="n"/>
      <c r="H282" s="69" t="n"/>
    </row>
    <row r="283" ht="15" customHeight="1" s="37">
      <c r="A283" s="69" t="n"/>
      <c r="B283" s="59" t="n"/>
      <c r="C283" s="69" t="n"/>
      <c r="D283" s="69" t="n"/>
      <c r="E283" s="69" t="n"/>
      <c r="F283" s="69" t="n"/>
      <c r="G283" s="61" t="n"/>
      <c r="H283" s="69" t="n"/>
    </row>
    <row r="284" ht="15" customHeight="1" s="37">
      <c r="A284" s="69" t="n"/>
      <c r="B284" s="59" t="n"/>
      <c r="C284" s="69" t="n"/>
      <c r="D284" s="69" t="n"/>
      <c r="E284" s="69" t="n"/>
      <c r="F284" s="69" t="n"/>
      <c r="G284" s="61" t="n"/>
      <c r="H284" s="69" t="n"/>
    </row>
    <row r="285" ht="15" customHeight="1" s="37">
      <c r="A285" s="69" t="n"/>
      <c r="B285" s="59" t="n"/>
      <c r="C285" s="69" t="n"/>
      <c r="D285" s="69" t="n"/>
      <c r="E285" s="69" t="n"/>
      <c r="F285" s="69" t="n"/>
      <c r="G285" s="61" t="n"/>
      <c r="H285" s="69" t="n"/>
    </row>
    <row r="286" ht="15" customHeight="1" s="37">
      <c r="A286" s="69" t="n"/>
      <c r="B286" s="59" t="n"/>
      <c r="C286" s="69" t="n"/>
      <c r="D286" s="69" t="n"/>
      <c r="E286" s="69" t="n"/>
      <c r="F286" s="69" t="n"/>
      <c r="G286" s="61" t="n"/>
      <c r="H286" s="69" t="n"/>
    </row>
    <row r="287" ht="15" customHeight="1" s="37">
      <c r="A287" s="69" t="n"/>
      <c r="B287" s="59" t="n"/>
      <c r="C287" s="69" t="n"/>
      <c r="D287" s="69" t="n"/>
      <c r="E287" s="69" t="n"/>
      <c r="F287" s="69" t="n"/>
      <c r="G287" s="61" t="n"/>
      <c r="H287" s="69" t="n"/>
    </row>
    <row r="288" ht="15" customHeight="1" s="37">
      <c r="A288" s="69" t="n"/>
      <c r="B288" s="59" t="n"/>
      <c r="C288" s="69" t="n"/>
      <c r="D288" s="69" t="n"/>
      <c r="E288" s="69" t="n"/>
      <c r="F288" s="69" t="n"/>
      <c r="G288" s="61" t="n"/>
      <c r="H288" s="69" t="n"/>
    </row>
    <row r="289" ht="15" customHeight="1" s="37">
      <c r="A289" s="69" t="n"/>
      <c r="B289" s="59" t="n"/>
      <c r="C289" s="69" t="n"/>
      <c r="D289" s="69" t="n"/>
      <c r="E289" s="69" t="n"/>
      <c r="F289" s="69" t="n"/>
      <c r="G289" s="61" t="n"/>
      <c r="H289" s="69" t="n"/>
    </row>
    <row r="290" ht="15" customHeight="1" s="37">
      <c r="A290" s="69" t="n"/>
      <c r="B290" s="59" t="n"/>
      <c r="C290" s="69" t="n"/>
      <c r="D290" s="69" t="n"/>
      <c r="E290" s="69" t="n"/>
      <c r="F290" s="69" t="n"/>
      <c r="G290" s="61" t="n"/>
      <c r="H290" s="69" t="n"/>
    </row>
    <row r="291" ht="15" customHeight="1" s="37">
      <c r="A291" s="69" t="n"/>
      <c r="B291" s="59" t="n"/>
      <c r="C291" s="69" t="n"/>
      <c r="D291" s="69" t="n"/>
      <c r="E291" s="69" t="n"/>
      <c r="F291" s="69" t="n"/>
      <c r="G291" s="61" t="n"/>
      <c r="H291" s="69" t="n"/>
    </row>
    <row r="292" ht="15" customHeight="1" s="37">
      <c r="A292" s="69" t="n"/>
      <c r="B292" s="59" t="n"/>
      <c r="C292" s="69" t="n"/>
      <c r="D292" s="69" t="n"/>
      <c r="E292" s="69" t="n"/>
      <c r="F292" s="69" t="n"/>
      <c r="G292" s="61" t="n"/>
      <c r="H292" s="69" t="n"/>
    </row>
    <row r="293" ht="15" customHeight="1" s="37">
      <c r="A293" s="69" t="n"/>
      <c r="B293" s="59" t="n"/>
      <c r="C293" s="69" t="n"/>
      <c r="D293" s="69" t="n"/>
      <c r="E293" s="69" t="n"/>
      <c r="F293" s="69" t="n"/>
      <c r="G293" s="61" t="n"/>
      <c r="H293" s="69" t="n"/>
    </row>
    <row r="294" ht="15" customHeight="1" s="37">
      <c r="A294" s="69" t="n"/>
      <c r="B294" s="59" t="n"/>
      <c r="C294" s="69" t="n"/>
      <c r="D294" s="69" t="n"/>
      <c r="E294" s="69" t="n"/>
      <c r="F294" s="69" t="n"/>
      <c r="G294" s="61" t="n"/>
      <c r="H294" s="69" t="n"/>
    </row>
    <row r="295" ht="15" customHeight="1" s="37">
      <c r="A295" s="69" t="n"/>
      <c r="B295" s="59" t="n"/>
      <c r="C295" s="69" t="n"/>
      <c r="D295" s="69" t="n"/>
      <c r="E295" s="69" t="n"/>
      <c r="F295" s="69" t="n"/>
      <c r="G295" s="61" t="n"/>
      <c r="H295" s="69" t="n"/>
    </row>
    <row r="296" ht="15" customHeight="1" s="37">
      <c r="A296" s="69" t="n"/>
      <c r="B296" s="59" t="n"/>
      <c r="C296" s="69" t="n"/>
      <c r="D296" s="69" t="n"/>
      <c r="E296" s="69" t="n"/>
      <c r="F296" s="69" t="n"/>
      <c r="G296" s="61" t="n"/>
      <c r="H296" s="69" t="n"/>
    </row>
    <row r="297" ht="15" customHeight="1" s="37">
      <c r="A297" s="69" t="n"/>
      <c r="B297" s="59" t="n"/>
      <c r="C297" s="69" t="n"/>
      <c r="D297" s="69" t="n"/>
      <c r="E297" s="69" t="n"/>
      <c r="F297" s="69" t="n"/>
      <c r="G297" s="61" t="n"/>
      <c r="H297" s="69" t="n"/>
    </row>
    <row r="298" ht="15" customHeight="1" s="37">
      <c r="A298" s="69" t="n"/>
      <c r="B298" s="59" t="n"/>
      <c r="C298" s="69" t="n"/>
      <c r="D298" s="69" t="n"/>
      <c r="E298" s="69" t="n"/>
      <c r="F298" s="69" t="n"/>
      <c r="G298" s="61" t="n"/>
      <c r="H298" s="69" t="n"/>
    </row>
    <row r="299" ht="15" customHeight="1" s="37">
      <c r="A299" s="69" t="n"/>
      <c r="B299" s="59" t="n"/>
      <c r="C299" s="69" t="n"/>
      <c r="D299" s="69" t="n"/>
      <c r="E299" s="69" t="n"/>
      <c r="F299" s="69" t="n"/>
      <c r="G299" s="61" t="n"/>
      <c r="H299" s="69" t="n"/>
    </row>
    <row r="300" ht="15" customHeight="1" s="37">
      <c r="A300" s="69" t="n"/>
      <c r="B300" s="59" t="n"/>
      <c r="C300" s="69" t="n"/>
      <c r="D300" s="69" t="n"/>
      <c r="E300" s="69" t="n"/>
      <c r="F300" s="69" t="n"/>
      <c r="G300" s="61" t="n"/>
      <c r="H300" s="69" t="n"/>
    </row>
    <row r="301" ht="15" customHeight="1" s="37">
      <c r="A301" s="69" t="n"/>
      <c r="B301" s="59" t="n"/>
      <c r="C301" s="69" t="n"/>
      <c r="D301" s="69" t="n"/>
      <c r="E301" s="69" t="n"/>
      <c r="F301" s="69" t="n"/>
      <c r="G301" s="61" t="n"/>
      <c r="H301" s="69" t="n"/>
    </row>
    <row r="302" ht="15" customHeight="1" s="37">
      <c r="A302" s="69" t="n"/>
      <c r="B302" s="59" t="n"/>
      <c r="C302" s="69" t="n"/>
      <c r="D302" s="69" t="n"/>
      <c r="E302" s="69" t="n"/>
      <c r="F302" s="69" t="n"/>
      <c r="G302" s="61" t="n"/>
      <c r="H302" s="69" t="n"/>
    </row>
    <row r="303" ht="15" customHeight="1" s="37">
      <c r="A303" s="69" t="n"/>
      <c r="B303" s="59" t="n"/>
      <c r="C303" s="69" t="n"/>
      <c r="D303" s="69" t="n"/>
      <c r="E303" s="69" t="n"/>
      <c r="F303" s="69" t="n"/>
      <c r="G303" s="61" t="n"/>
      <c r="H303" s="69" t="n"/>
    </row>
  </sheetData>
  <dataValidations count="2">
    <dataValidation sqref="D4:D303" showDropDown="0" showInputMessage="0" showErrorMessage="0" allowBlank="1" type="list" errorStyle="stop" operator="between">
      <formula1>L_PROFILS</formula1>
      <formula2>0</formula2>
    </dataValidation>
    <dataValidation sqref="E4:F303" showDropDown="0" showInputMessage="0" showErrorMessage="0" allowBlank="1" type="list" errorStyle="stop" operator="between">
      <formula1>L_OUINON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A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36" min="1" max="1"/>
  </cols>
  <sheetData>
    <row r="1" ht="33.75" customHeight="1" s="37">
      <c r="A1" s="46" t="inlineStr">
        <is>
          <t>NOTICE D'INSTALLATION ET D'EXPLOITATION</t>
        </is>
      </c>
    </row>
    <row r="3" ht="15" customHeight="1" s="37">
      <c r="A3" s="71" t="inlineStr">
        <is>
          <t>A. INSTALLATION (une seule fois, par la personne qui administre le logiciel)</t>
        </is>
      </c>
    </row>
    <row r="4" ht="15" customHeight="1" s="37">
      <c r="A4" s="45" t="inlineStr">
        <is>
          <t>1. Ouvrir IGE_FF_SERVICE_MODELE.xlsx, Alt+F11, Fichier &gt; Importer : modSecurite.bas, modService.bas.</t>
        </is>
      </c>
    </row>
    <row r="5" ht="15" customHeight="1" s="37">
      <c r="A5" s="45" t="inlineStr">
        <is>
          <t>2. Double-cliquer sur ThisWorkbook et coller le contenu de ThisWorkbook_SERVICE.txt.</t>
        </is>
      </c>
    </row>
    <row r="6" ht="15" customHeight="1" s="37">
      <c r="A6" s="45" t="inlineStr">
        <is>
          <t>3. Exécuter la macro INSTALLER_INTERFACE_SERVICE (Alt+F8) : création des boutons et protection des feuilles.</t>
        </is>
      </c>
    </row>
    <row r="7" ht="15" customHeight="1" s="37">
      <c r="A7" s="45" t="inlineStr">
        <is>
          <t>4. Outils &gt; Propriétés de VBAProject &gt; Protection : verrouiller le projet par un mot de passe.</t>
        </is>
      </c>
    </row>
    <row r="8" ht="15" customHeight="1" s="37">
      <c r="A8" s="45" t="inlineStr">
        <is>
          <t>5. Enregistrer sous IGE_FF_SERVICE_MODELE.xlsm (Classeur Excel prenant en charge les macros) dans le dossier MODELE.</t>
        </is>
      </c>
    </row>
    <row r="9" ht="15" customHeight="1" s="37">
      <c r="A9" s="45" t="inlineStr">
        <is>
          <t>6. Faire de même avec ce classeur : importer modSecurite.bas et modCentral.bas, coller ThisWorkbook_CENTRAL.txt,</t>
        </is>
      </c>
    </row>
    <row r="10" ht="15" customHeight="1" s="37">
      <c r="A10" s="45" t="inlineStr">
        <is>
          <t xml:space="preserve">   exécuter INSTALLER_INTERFACE_CENTRAL, protéger le projet VBA, enregistrer sous IGE_FF_CENTRAL.xlsm.</t>
        </is>
      </c>
    </row>
    <row r="11" ht="15" customHeight="1" s="37">
      <c r="A11" s="45" t="inlineStr">
        <is>
          <t>7. Changer la constante MDP_PROTECTION dans modSecurite (même valeur dans les deux fichiers) AVANT l'étape 3.</t>
        </is>
      </c>
    </row>
    <row r="12" ht="15" customHeight="1" s="37">
      <c r="A12" s="45" t="n"/>
    </row>
    <row r="13" ht="15" customHeight="1" s="37">
      <c r="A13" s="71" t="inlineStr">
        <is>
          <t>B. DOSSIERS RÉSEAU (à faire avec l'informaticien)</t>
        </is>
      </c>
    </row>
    <row r="14" ht="15" customHeight="1" s="37">
      <c r="A14" s="45" t="inlineStr">
        <is>
          <t>- \\SERVEUR\IGE_FF\CENTRAL : classeur central — accès Administration et Finance uniquement.</t>
        </is>
      </c>
    </row>
    <row r="15" ht="15" customHeight="1" s="37">
      <c r="A15" s="45" t="inlineStr">
        <is>
          <t>- \\SERVEUR\IGE_FF\TRANSMISSIONS : services = « Créer des fichiers / écrire des données » sans « Lister le dossier / lire » ;</t>
        </is>
      </c>
    </row>
    <row r="16" ht="15" customHeight="1" s="37">
      <c r="A16" s="45" t="inlineStr">
        <is>
          <t xml:space="preserve">  Administration et Finance = lecture (et modification si archivage). Ainsi un service dépose sans voir les dépôts des autres.</t>
        </is>
      </c>
    </row>
    <row r="17" ht="15" customHeight="1" s="37">
      <c r="A17" s="45" t="inlineStr">
        <is>
          <t>- \\SERVEUR\IGE_FF\SERVICES\&lt;service&gt; : un sous-dossier par service, accessible à ses seuls agents.</t>
        </is>
      </c>
    </row>
    <row r="18" ht="15" customHeight="1" s="37">
      <c r="A18" s="45" t="n"/>
    </row>
    <row r="19" ht="15" customHeight="1" s="37">
      <c r="A19" s="71" t="inlineStr">
        <is>
          <t>C. MISE EN SERVICE</t>
        </is>
      </c>
    </row>
    <row r="20" ht="15" customHeight="1" s="37">
      <c r="A20" s="45" t="inlineStr">
        <is>
          <t>1. Se connecter avec admin.af (première connexion : choix du mot de passe).</t>
        </is>
      </c>
    </row>
    <row r="21" ht="15" customHeight="1" s="37">
      <c r="A21" s="45" t="inlineStr">
        <is>
          <t>2. Compléter PARAMETRES (chemins réels, exercice, libellés des services).</t>
        </is>
      </c>
    </row>
    <row r="22" ht="15" customHeight="1" s="37">
      <c r="A22" s="45" t="inlineStr">
        <is>
          <t>3. UTILISATEURS : une ligne par compte (service, profil, actif), mot de passe initial en colonne H, puis CHIFFRER LES MOTS DE PASSE.</t>
        </is>
      </c>
    </row>
    <row r="23" ht="15" customHeight="1" s="37">
      <c r="A23" s="45" t="inlineStr">
        <is>
          <t>4. GÉNÉRER LES FICHIERS SERVICES (TOUS ou un code) : chaque fichier ne reçoit que ses propres comptes AGENT / RESPONSABLE.</t>
        </is>
      </c>
    </row>
    <row r="24" ht="15" customHeight="1" s="37">
      <c r="A24" s="45" t="inlineStr">
        <is>
          <t xml:space="preserve">   Si le fichier existe déjà, seule la table des comptes est actualisée (les écritures sont conservées).</t>
        </is>
      </c>
    </row>
    <row r="25" ht="15" customHeight="1" s="37">
      <c r="A25" s="45" t="inlineStr">
        <is>
          <t>5. Déplacer chaque fichier généré dans le dossier réservé au service correspondant.</t>
        </is>
      </c>
    </row>
    <row r="26" ht="15" customHeight="1" s="37">
      <c r="A26" s="45" t="n"/>
    </row>
    <row r="27" ht="15" customHeight="1" s="37">
      <c r="A27" s="71" t="inlineStr">
        <is>
          <t>D. EXPLOITATION COURANTE</t>
        </is>
      </c>
    </row>
    <row r="28" ht="15" customHeight="1" s="37">
      <c r="A28" s="45" t="inlineStr">
        <is>
          <t>IMPORTER LES TRANSMISSIONS → CONTRÔLER LES ÉCRITURES → VALIDER (sans anomalie ou sélection) / REJETER → ACTUALISER LE TABLEAU DE BORD.</t>
        </is>
      </c>
    </row>
    <row r="29" ht="15" customHeight="1" s="37">
      <c r="A29" s="45" t="inlineStr">
        <is>
          <t>Doublons : chaque ID_ECRITURE n'est enregistré qu'une fois. Une ligne reçue avec TYPE_ENVOI = MISE A JOUR (paiement d'un engagement)</t>
        </is>
      </c>
    </row>
    <row r="30" ht="15" customHeight="1" s="37">
      <c r="A30" s="45" t="inlineStr">
        <is>
          <t>remplace la ligne existante et la remet à l'état A VERIFIER. Les fichiers déjà inscrits au JOURNAL_IMPORTS ne sont pas relus.</t>
        </is>
      </c>
    </row>
    <row r="31" ht="15" customHeight="1" s="37">
      <c r="A31" s="45" t="n"/>
    </row>
    <row r="32" ht="15" customHeight="1" s="37">
      <c r="A32" s="71" t="inlineStr">
        <is>
          <t>E. LIMITES À CONNAÎTRE</t>
        </is>
      </c>
    </row>
    <row r="33" ht="15" customHeight="1" s="37">
      <c r="A33" s="45" t="inlineStr">
        <is>
          <t>La protection Excel (feuilles masquées, mots de passe) dissuade mais ne remplace pas les droits Windows : la confidentialité réelle</t>
        </is>
      </c>
    </row>
    <row r="34" ht="15" customHeight="1" s="37">
      <c r="A34" s="45" t="inlineStr">
        <is>
          <t>repose sur les droits NTFS des dossiers. Les mots de passe sont stockés sous forme d'empreinte, jamais en clair.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2026-10-20T12:04:47Z</dcterms:created>
  <dcterms:modified xmlns:dcterms="http://purl.org/dc/terms/" xmlns:xsi="http://www.w3.org/2001/XMLSchema-instance" xsi:type="dcterms:W3CDTF">2026-10-23T22:51:57Z</dcterms:modified>
  <cp:revision>1</cp:revision>
</cp:coreProperties>
</file>